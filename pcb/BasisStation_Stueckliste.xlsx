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ückliste" sheetId="1" state="visible" r:id="rId1"/>
    <sheet name="Einzelpositionen" sheetId="2" state="visible" r:id="rId2"/>
    <sheet name="Offene Punkte" sheetId="3" state="visible" r:id="rId3"/>
  </sheets>
  <definedNames>
    <definedName name="_xlnm._FilterDatabase" localSheetId="0" hidden="1">'Stückliste'!$A$5:$W$49</definedName>
    <definedName name="_xlnm._FilterDatabase" localSheetId="1" hidden="1">'Einzelpositionen'!$A$5:$I$83</definedName>
  </definedNames>
  <calcPr calcId="124519" fullCalcOnLoad="1"/>
</workbook>
</file>

<file path=xl/styles.xml><?xml version="1.0" encoding="utf-8"?>
<styleSheet xmlns="http://schemas.openxmlformats.org/spreadsheetml/2006/main">
  <numFmts count="1">
    <numFmt numFmtId="164" formatCode="#,##0.00\ &quot;€&quot;"/>
  </numFmts>
  <fonts count="7">
    <font>
      <name val="Calibri"/>
      <family val="2"/>
      <color theme="1"/>
      <sz val="11"/>
      <scheme val="minor"/>
    </font>
    <font>
      <b val="1"/>
      <sz val="14"/>
    </font>
    <font>
      <i val="1"/>
      <sz val="9"/>
    </font>
    <font>
      <b val="1"/>
      <color rgb="00FFFFFF"/>
    </font>
    <font/>
    <font>
      <color rgb="000563C1"/>
      <u val="single"/>
    </font>
    <font>
      <b val="1"/>
    </font>
  </fonts>
  <fills count="5">
    <fill>
      <patternFill/>
    </fill>
    <fill>
      <patternFill patternType="gray125"/>
    </fill>
    <fill>
      <patternFill patternType="solid">
        <fgColor rgb="0044546A"/>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4" fillId="3" borderId="1" applyAlignment="1" pivotButton="0" quotePrefix="0" xfId="0">
      <alignment vertical="top"/>
    </xf>
    <xf numFmtId="164" fontId="6" fillId="3" borderId="1" applyAlignment="1" pivotButton="0" quotePrefix="0" xfId="0">
      <alignment vertical="top"/>
    </xf>
    <xf numFmtId="164" fontId="0" fillId="0" borderId="1" applyAlignment="1" pivotButton="0" quotePrefix="0" xfId="0">
      <alignment vertical="top"/>
    </xf>
    <xf numFmtId="0" fontId="5" fillId="0" borderId="1" applyAlignment="1" pivotButton="0" quotePrefix="0" xfId="0">
      <alignment vertical="top"/>
    </xf>
    <xf numFmtId="0" fontId="0" fillId="4" borderId="1" applyAlignment="1" pivotButton="0" quotePrefix="0" xfId="0">
      <alignment vertical="top"/>
    </xf>
    <xf numFmtId="0" fontId="6" fillId="0" borderId="0" pivotButton="0" quotePrefix="0" xfId="0"/>
    <xf numFmtId="164" fontId="6" fillId="0" borderId="1" pivotButton="0" quotePrefix="0" xfId="0"/>
    <xf numFmtId="0" fontId="4" fillId="0" borderId="0" pivotButton="0" quotePrefix="0" xfId="0"/>
    <xf numFmtId="164" fontId="4"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ouser.de/de/ProductDetail/Taoglas/CAB.6061?qs=efUn273yAhcczE0Xmis3Vw%3D%3D" TargetMode="External" Id="rId1" /><Relationship Type="http://schemas.openxmlformats.org/officeDocument/2006/relationships/hyperlink" Target="https://www.digikey.de/de/products/detail/taoglas-limited/CAB-6061/26766272" TargetMode="External" Id="rId2" /><Relationship Type="http://schemas.openxmlformats.org/officeDocument/2006/relationships/hyperlink" Target="https://www.taoglas.com/datasheets/Taoglas_Cable_Assembly_Catalog.pdf" TargetMode="External" Id="rId3" /><Relationship Type="http://schemas.openxmlformats.org/officeDocument/2006/relationships/hyperlink" Target="https://www.mouser.de/de/ProductDetail/Taoglas/GW.20.A151?qs=P1JMDcb91o7bSzryErDemw%3D%3D" TargetMode="External" Id="rId4" /><Relationship Type="http://schemas.openxmlformats.org/officeDocument/2006/relationships/hyperlink" Target="https://www.digikey.de/de/products/detail/taoglas-limited/GW-20-A151/28263398" TargetMode="External" Id="rId5" /><Relationship Type="http://schemas.openxmlformats.org/officeDocument/2006/relationships/hyperlink" Target="https://cdn.taoglas.com/datasheets/GW.20.A151.pdf" TargetMode="External" Id="rId6" /><Relationship Type="http://schemas.openxmlformats.org/officeDocument/2006/relationships/hyperlink" Target="https://www.mouser.de/de/ProductDetail/Wurth-Elektronik/890334023023?qs=pceeu5JH%2FH%252Bn7WWQMu8xaA%3D%3D" TargetMode="External" Id="rId7" /><Relationship Type="http://schemas.openxmlformats.org/officeDocument/2006/relationships/hyperlink" Target="https://www.digikey.de/de/products/detail/w&#252;rth-elektronik/890334023023/5038958" TargetMode="External" Id="rId8" /><Relationship Type="http://schemas.openxmlformats.org/officeDocument/2006/relationships/hyperlink" Target="https://www.we-online.com/components/products/datasheet/890334023023.pdf" TargetMode="External" Id="rId9" /><Relationship Type="http://schemas.openxmlformats.org/officeDocument/2006/relationships/hyperlink" Target="https://www.mouser.de/de/ProductDetail/Wurth-Elektronik/870235673001?qs=qpJ%252B%252B%252Bdg6p3rjdOcVILtpg%3D%3D" TargetMode="External" Id="rId10" /><Relationship Type="http://schemas.openxmlformats.org/officeDocument/2006/relationships/hyperlink" Target="https://www.digikey.de/de/products/detail/w&#252;rth-elektronik/870235673001/8556591" TargetMode="External" Id="rId11" /><Relationship Type="http://schemas.openxmlformats.org/officeDocument/2006/relationships/hyperlink" Target="https://www.we-online.com/components/products/datasheet/870235673001.pdf" TargetMode="External" Id="rId12" /><Relationship Type="http://schemas.openxmlformats.org/officeDocument/2006/relationships/hyperlink" Target="https://www.mouser.de/de/ProductDetail/Samsung-Electro-Mechanics/CL21B106KOQNNNE?qs=349EhDEZ59r8qgLddyW2Yw%3D%3D" TargetMode="External" Id="rId13" /><Relationship Type="http://schemas.openxmlformats.org/officeDocument/2006/relationships/hyperlink" Target="https://www.digikey.de/de/products/detail/samsung-electro-mechanics/CL21B106KOQNNNE/3888530" TargetMode="External" Id="rId14" /><Relationship Type="http://schemas.openxmlformats.org/officeDocument/2006/relationships/hyperlink" Target="~" TargetMode="External" Id="rId15" /><Relationship Type="http://schemas.openxmlformats.org/officeDocument/2006/relationships/hyperlink" Target="https://www.mouser.de/de/ProductDetail/Samsung-Electro-Mechanics/CL21A226MOQNNNE?qs=xZ%2FP%252Ba9zWqZNj78soW9a4Q%3D%3D" TargetMode="External" Id="rId16" /><Relationship Type="http://schemas.openxmlformats.org/officeDocument/2006/relationships/hyperlink" Target="https://www.digikey.de/de/products/detail/samsung-electro-mechanics/CL21A226MOQNNNE/3888567" TargetMode="External" Id="rId17" /><Relationship Type="http://schemas.openxmlformats.org/officeDocument/2006/relationships/hyperlink" Target="~" TargetMode="External" Id="rId18" /><Relationship Type="http://schemas.openxmlformats.org/officeDocument/2006/relationships/hyperlink" Target="https://www.mouser.de/de/ProductDetail/YAGEO/CC0805KRX7R9BB104?qs=vTakOoo5QyLx0lXWgVtRhQ%3D%3D" TargetMode="External" Id="rId19" /><Relationship Type="http://schemas.openxmlformats.org/officeDocument/2006/relationships/hyperlink" Target="https://www.digikey.de/de/products/detail/yageo/CC0805KRX7R9BB104/302874" TargetMode="External" Id="rId20" /><Relationship Type="http://schemas.openxmlformats.org/officeDocument/2006/relationships/hyperlink" Target="~" TargetMode="External" Id="rId21" /><Relationship Type="http://schemas.openxmlformats.org/officeDocument/2006/relationships/hyperlink" Target="https://www.mouser.de/de/ProductDetail/Samsung-Electro-Mechanics/CL21A475KAQNNNE?qs=yOVawPpwOwkWIBpK%2Fbg0Aw%3D%3D" TargetMode="External" Id="rId22" /><Relationship Type="http://schemas.openxmlformats.org/officeDocument/2006/relationships/hyperlink" Target="https://www.digikey.de/de/products/detail/samsung-electro-mechanics/CL21A475KAQNNNE/3886902" TargetMode="External" Id="rId23" /><Relationship Type="http://schemas.openxmlformats.org/officeDocument/2006/relationships/hyperlink" Target="~" TargetMode="External" Id="rId24" /><Relationship Type="http://schemas.openxmlformats.org/officeDocument/2006/relationships/hyperlink" Target="https://www.mouser.de/de/ProductDetail/YAGEO/CC0805KRX7R9BB103?qs=AgBp2OyFlx%252BOmOw2rEcWJw%3D%3D" TargetMode="External" Id="rId25" /><Relationship Type="http://schemas.openxmlformats.org/officeDocument/2006/relationships/hyperlink" Target="https://www.digikey.de/de/products/detail/yageo/CC0805KRX7R9BB103/302870" TargetMode="External" Id="rId26" /><Relationship Type="http://schemas.openxmlformats.org/officeDocument/2006/relationships/hyperlink" Target="~" TargetMode="External" Id="rId27" /><Relationship Type="http://schemas.openxmlformats.org/officeDocument/2006/relationships/hyperlink" Target="https://www.mouser.de/de/ProductDetail/YAGEO/CC0805JRNPO9BN270?qs=AgBp2OyFlx9Odvxw0B3RXQ%3D%3D" TargetMode="External" Id="rId28" /><Relationship Type="http://schemas.openxmlformats.org/officeDocument/2006/relationships/hyperlink" Target="https://www.digikey.de/de/products/detail/yageo/CC0805JRNPO9BN270/302838" TargetMode="External" Id="rId29" /><Relationship Type="http://schemas.openxmlformats.org/officeDocument/2006/relationships/hyperlink" Target="~" TargetMode="External" Id="rId30" /><Relationship Type="http://schemas.openxmlformats.org/officeDocument/2006/relationships/hyperlink" Target="https://www.mouser.de/de/ProductDetail/KEMET/C1206C102KGRACTU?qs=WyvL69DJJa9tcDzmkCOQcQ%3D%3D" TargetMode="External" Id="rId31" /><Relationship Type="http://schemas.openxmlformats.org/officeDocument/2006/relationships/hyperlink" Target="https://www.digikey.de/de/products/detail/kemet/C1206C102KGRACTU/1086603" TargetMode="External" Id="rId32" /><Relationship Type="http://schemas.openxmlformats.org/officeDocument/2006/relationships/hyperlink" Target="~" TargetMode="External" Id="rId33" /><Relationship Type="http://schemas.openxmlformats.org/officeDocument/2006/relationships/hyperlink" Target="https://www.mouser.de/de/ProductDetail/YAGEO/CC0805KRX7R9BB682?qs=AgBp2OyFlx9eO1H25iC9KQ%3D%3D" TargetMode="External" Id="rId34" /><Relationship Type="http://schemas.openxmlformats.org/officeDocument/2006/relationships/hyperlink" Target="https://www.digikey.de/de/products/detail/yageo/CC0805KRX7R9BB682/302869" TargetMode="External" Id="rId35" /><Relationship Type="http://schemas.openxmlformats.org/officeDocument/2006/relationships/hyperlink" Target="~" TargetMode="External" Id="rId36" /><Relationship Type="http://schemas.openxmlformats.org/officeDocument/2006/relationships/hyperlink" Target="https://www.mouser.de/de/ProductDetail/Samsung-Electro-Mechanics/CL21B223KBANNNC?qs=349EhDEZ59o8NyW%2FjkRQDg%3D%3D" TargetMode="External" Id="rId37" /><Relationship Type="http://schemas.openxmlformats.org/officeDocument/2006/relationships/hyperlink" Target="https://www.digikey.de/de/products/detail/samsung-electro-mechanics/CL21B223KBANNNC/3886739" TargetMode="External" Id="rId38" /><Relationship Type="http://schemas.openxmlformats.org/officeDocument/2006/relationships/hyperlink" Target="~" TargetMode="External" Id="rId39" /><Relationship Type="http://schemas.openxmlformats.org/officeDocument/2006/relationships/hyperlink" Target="https://www.mouser.de/de/ProductDetail/Wurth-Elektronik/151031YS05900?qs=LlUlMxKIyB2uWWsOjTR3Fw%3D%3D" TargetMode="External" Id="rId40" /><Relationship Type="http://schemas.openxmlformats.org/officeDocument/2006/relationships/hyperlink" Target="https://www.digikey.de/de/products/detail/w&#252;rth-elektronik/151031YS05900/4489991" TargetMode="External" Id="rId41" /><Relationship Type="http://schemas.openxmlformats.org/officeDocument/2006/relationships/hyperlink" Target="https://www.we-online.com/components/products/datasheet/151031YS05900.pdf" TargetMode="External" Id="rId42" /><Relationship Type="http://schemas.openxmlformats.org/officeDocument/2006/relationships/hyperlink" Target="https://www.mouser.de/de/ProductDetail/Wurth-Elektronik/151033BS03000?qs=2kOmHSv6VfSefdpzrMLWSw%3D%3D" TargetMode="External" Id="rId43" /><Relationship Type="http://schemas.openxmlformats.org/officeDocument/2006/relationships/hyperlink" Target="https://www.digikey.de/de/products/detail/w&#252;rth-elektronik/151033BS03000/4489997" TargetMode="External" Id="rId44" /><Relationship Type="http://schemas.openxmlformats.org/officeDocument/2006/relationships/hyperlink" Target="~" TargetMode="External" Id="rId45" /><Relationship Type="http://schemas.openxmlformats.org/officeDocument/2006/relationships/hyperlink" Target="https://www.mouser.de/de/ProductDetail/Wurth-Elektronik/151033RS03000?qs=LlUlMxKIyB1%252BAw6bWFN43w%3D%3D" TargetMode="External" Id="rId46" /><Relationship Type="http://schemas.openxmlformats.org/officeDocument/2006/relationships/hyperlink" Target="https://www.digikey.de/de/products/detail/w&#252;rth-elektronik/151033RS03000/4490003" TargetMode="External" Id="rId47" /><Relationship Type="http://schemas.openxmlformats.org/officeDocument/2006/relationships/hyperlink" Target="~" TargetMode="External" Id="rId48" /><Relationship Type="http://schemas.openxmlformats.org/officeDocument/2006/relationships/hyperlink" Target="https://www.mouser.de/de/ProductDetail/Wurth-Elektronik/151031VS06000?qs=LlUlMxKIyB01ggED1iKswA%3D%3D" TargetMode="External" Id="rId49" /><Relationship Type="http://schemas.openxmlformats.org/officeDocument/2006/relationships/hyperlink" Target="https://www.digikey.de/de/products/detail/w&#252;rth-elektronik/151031VS06000/4489988" TargetMode="External" Id="rId50" /><Relationship Type="http://schemas.openxmlformats.org/officeDocument/2006/relationships/hyperlink" Target="~" TargetMode="External" Id="rId51" /><Relationship Type="http://schemas.openxmlformats.org/officeDocument/2006/relationships/hyperlink" Target="https://www.mouser.de/de/ProductDetail/Comchip-Technology/SS34-HF?qs=%252B6g0mu59x7Kt0FF4l3l3pg%3D%3D" TargetMode="External" Id="rId52" /><Relationship Type="http://schemas.openxmlformats.org/officeDocument/2006/relationships/hyperlink" Target="https://www.digikey.de/de/products/detail/comchip-technology/SS34-HF/10279693" TargetMode="External" Id="rId53" /><Relationship Type="http://schemas.openxmlformats.org/officeDocument/2006/relationships/hyperlink" Target="https://www.vishay.com/docs/88751/ss32.pdf" TargetMode="External" Id="rId54" /><Relationship Type="http://schemas.openxmlformats.org/officeDocument/2006/relationships/hyperlink" Target="https://www.mouser.de/de/ProductDetail/Littelfuse/SMAJ5.0A?qs=2VFNtWizgicfetZVA4gWHA%3D%3D" TargetMode="External" Id="rId55" /><Relationship Type="http://schemas.openxmlformats.org/officeDocument/2006/relationships/hyperlink" Target="https://www.digikey.de/de/products/detail/littelfuse-inc/SMAJ5-0A/762250" TargetMode="External" Id="rId56" /><Relationship Type="http://schemas.openxmlformats.org/officeDocument/2006/relationships/hyperlink" Target="https://www.littelfuse.com/media?resourcetype=datasheets&amp;itemid=75e32973-b177-4ee3-a0ff-cedaf1abdb93&amp;filename=smaj-datasheet" TargetMode="External" Id="rId57" /><Relationship Type="http://schemas.openxmlformats.org/officeDocument/2006/relationships/hyperlink" Target="https://www.mouser.de/de/ProductDetail/Bourns/MF-NSMF110-2?qs=78xkMtwow2zgSbc2Qx8dhg%3D%3D" TargetMode="External" Id="rId58" /><Relationship Type="http://schemas.openxmlformats.org/officeDocument/2006/relationships/hyperlink" Target="https://www.digikey.de/de/products/detail/bourns-inc/MF-NSMF110-2/662810" TargetMode="External" Id="rId59" /><Relationship Type="http://schemas.openxmlformats.org/officeDocument/2006/relationships/hyperlink" Target="~" TargetMode="External" Id="rId60" /><Relationship Type="http://schemas.openxmlformats.org/officeDocument/2006/relationships/hyperlink" Target="https://www.mouser.de/de/ProductDetail/Murata-Electronics/BLM21PG601SN1D?qs=iLKYxzqNS74FEXcdq8OVUQ%3D%3D" TargetMode="External" Id="rId61" /><Relationship Type="http://schemas.openxmlformats.org/officeDocument/2006/relationships/hyperlink" Target="https://www.digikey.de/de/products/detail/murata-electronics/BLM21PG601SN1D/24763118" TargetMode="External" Id="rId62" /><Relationship Type="http://schemas.openxmlformats.org/officeDocument/2006/relationships/hyperlink" Target="~" TargetMode="External" Id="rId63" /><Relationship Type="http://schemas.openxmlformats.org/officeDocument/2006/relationships/hyperlink" Target="https://www.mouser.de/de/ProductDetail/Amphenol-Commercial-Products/12401598E42A?qs=367PjNmvCmllVMBVyIyS3w%3D%3D" TargetMode="External" Id="rId64" /><Relationship Type="http://schemas.openxmlformats.org/officeDocument/2006/relationships/hyperlink" Target="https://www.digikey.de/de/products/detail/amphenol-cs-commercial-products/12401598E4-2A/6051823" TargetMode="External" Id="rId65" /><Relationship Type="http://schemas.openxmlformats.org/officeDocument/2006/relationships/hyperlink" Target="https://www.usb.org/sites/default/files/documents/usb_type-c.zip" TargetMode="External" Id="rId66" /><Relationship Type="http://schemas.openxmlformats.org/officeDocument/2006/relationships/hyperlink" Target="https://www.mouser.de/de/ProductDetail/Wurth-Elektronik/61200621621?qs=PhR8RmCirEbjX8n1RKw4Jw%3D%3D" TargetMode="External" Id="rId67" /><Relationship Type="http://schemas.openxmlformats.org/officeDocument/2006/relationships/hyperlink" Target="https://www.digikey.de/de/products/detail/w&#252;rth-elektronik/61200621621/4846913" TargetMode="External" Id="rId68" /><Relationship Type="http://schemas.openxmlformats.org/officeDocument/2006/relationships/hyperlink" Target="~" TargetMode="External" Id="rId69" /><Relationship Type="http://schemas.openxmlformats.org/officeDocument/2006/relationships/hyperlink" Target="https://www.mouser.de/de/ProductDetail/Bourns/SRN6045TA-100M?qs=Vt59ZOdFuWZBf9gWI0WHQg%3D%3D" TargetMode="External" Id="rId70" /><Relationship Type="http://schemas.openxmlformats.org/officeDocument/2006/relationships/hyperlink" Target="https://www.digikey.de/de/products/detail/bourns-inc/SRN6045TA-100M/6155107" TargetMode="External" Id="rId71" /><Relationship Type="http://schemas.openxmlformats.org/officeDocument/2006/relationships/hyperlink" Target="~" TargetMode="External" Id="rId72" /><Relationship Type="http://schemas.openxmlformats.org/officeDocument/2006/relationships/hyperlink" Target="https://www.mouser.de/de/ProductDetail/Diodes-Incorporated/AP3211KTR-G1?qs=x6A8l6qLYDBtUEamkYz8cA%3D%3D" TargetMode="External" Id="rId73" /><Relationship Type="http://schemas.openxmlformats.org/officeDocument/2006/relationships/hyperlink" Target="https://www.digikey.de/de/products/detail/diodes-incorporated/AP3211KTR-G1/4470864" TargetMode="External" Id="rId74" /><Relationship Type="http://schemas.openxmlformats.org/officeDocument/2006/relationships/hyperlink" Target="https://www.diodes.com/assets/Datasheets/AP3211.pdf" TargetMode="External" Id="rId75" /><Relationship Type="http://schemas.openxmlformats.org/officeDocument/2006/relationships/hyperlink" Target="https://www.mouser.de/de/ProductDetail/onsemi/BC33740BU?qs=UMEuL5FsraDblVeOj41nvQ%3D%3D" TargetMode="External" Id="rId76" /><Relationship Type="http://schemas.openxmlformats.org/officeDocument/2006/relationships/hyperlink" Target="https://www.digikey.de/de/products/detail/onsemi/BC33740BU/975531" TargetMode="External" Id="rId77" /><Relationship Type="http://schemas.openxmlformats.org/officeDocument/2006/relationships/hyperlink" Target="https://diotec.com/tl_files/diotec/files/pdf/datasheets/bc337.pdf" TargetMode="External" Id="rId78" /><Relationship Type="http://schemas.openxmlformats.org/officeDocument/2006/relationships/hyperlink" Target="https://www.mouser.de/de/ProductDetail/YAGEO/MFR-25FBF52-10K?qs=oAGoVhmvjhxY0mVN9GL5Pg%3D%3D" TargetMode="External" Id="rId79" /><Relationship Type="http://schemas.openxmlformats.org/officeDocument/2006/relationships/hyperlink" Target="https://www.digikey.de/de/products/detail/yageo/MFR-25FBF52-10K/13219" TargetMode="External" Id="rId80" /><Relationship Type="http://schemas.openxmlformats.org/officeDocument/2006/relationships/hyperlink" Target="~" TargetMode="External" Id="rId81" /><Relationship Type="http://schemas.openxmlformats.org/officeDocument/2006/relationships/hyperlink" Target="https://www.mouser.de/de/ProductDetail/Vishay-BC-Components/PR02000202200JR500?qs=Dh5jukcGX2zcA%252BQMkw0xGQ%3D%3D" TargetMode="External" Id="rId82" /><Relationship Type="http://schemas.openxmlformats.org/officeDocument/2006/relationships/hyperlink" Target="https://www.digikey.de/de/products/detail/vishay-beyschlag-draloric-bc-components/PR02000202200JR500/596150" TargetMode="External" Id="rId83" /><Relationship Type="http://schemas.openxmlformats.org/officeDocument/2006/relationships/hyperlink" Target="~" TargetMode="External" Id="rId84" /><Relationship Type="http://schemas.openxmlformats.org/officeDocument/2006/relationships/hyperlink" Target="https://www.mouser.de/de/ProductDetail/YAGEO/RC0805FR-0749K9L?qs=VLOqbHBAO5cDWH1fFfdblw%3D%3D" TargetMode="External" Id="rId85" /><Relationship Type="http://schemas.openxmlformats.org/officeDocument/2006/relationships/hyperlink" Target="https://www.digikey.de/de/products/detail/yageo/RC0805FR-0749K9L/727985" TargetMode="External" Id="rId86" /><Relationship Type="http://schemas.openxmlformats.org/officeDocument/2006/relationships/hyperlink" Target="~" TargetMode="External" Id="rId87" /><Relationship Type="http://schemas.openxmlformats.org/officeDocument/2006/relationships/hyperlink" Target="https://www.mouser.de/de/ProductDetail/YAGEO/RC0805FR-0716K2L?qs=8Y8p%252BasKcI6jseI9MyaaYA%3D%3D" TargetMode="External" Id="rId88" /><Relationship Type="http://schemas.openxmlformats.org/officeDocument/2006/relationships/hyperlink" Target="https://www.digikey.de/de/products/detail/yageo/RC0805FR-0716K2L/727622" TargetMode="External" Id="rId89" /><Relationship Type="http://schemas.openxmlformats.org/officeDocument/2006/relationships/hyperlink" Target="~" TargetMode="External" Id="rId90" /><Relationship Type="http://schemas.openxmlformats.org/officeDocument/2006/relationships/hyperlink" Target="https://www.mouser.de/de/ProductDetail/YAGEO/RC0805FR-075K1L?qs=TvbiuNL4H85i1jCYhRJkKQ%3D%3D" TargetMode="External" Id="rId91" /><Relationship Type="http://schemas.openxmlformats.org/officeDocument/2006/relationships/hyperlink" Target="https://www.digikey.de/de/products/detail/yageo/RC0805FR-075K1L/727988" TargetMode="External" Id="rId92" /><Relationship Type="http://schemas.openxmlformats.org/officeDocument/2006/relationships/hyperlink" Target="~" TargetMode="External" Id="rId93" /><Relationship Type="http://schemas.openxmlformats.org/officeDocument/2006/relationships/hyperlink" Target="https://www.mouser.de/de/ProductDetail/Vishay-BC-Components/PR02000204701JR500?qs=%2F%252B9XxHJ2SjEbjzAilo9ybw%3D%3D" TargetMode="External" Id="rId94" /><Relationship Type="http://schemas.openxmlformats.org/officeDocument/2006/relationships/hyperlink" Target="https://www.digikey.de/de/products/detail/vishay-beyschlag-draloric-bc-components/PR02000204701JR500/596200" TargetMode="External" Id="rId95" /><Relationship Type="http://schemas.openxmlformats.org/officeDocument/2006/relationships/hyperlink" Target="~" TargetMode="External" Id="rId96" /><Relationship Type="http://schemas.openxmlformats.org/officeDocument/2006/relationships/hyperlink" Target="https://www.mouser.de/de/ProductDetail/YAGEO/RC0805FR-0712K4L?qs=8Y8p%252BasKcI6kosjhKovvuQ%3D%3D" TargetMode="External" Id="rId97" /><Relationship Type="http://schemas.openxmlformats.org/officeDocument/2006/relationships/hyperlink" Target="https://www.digikey.de/de/products/detail/yageo/RC0805FR-0712K4L/727572" TargetMode="External" Id="rId98" /><Relationship Type="http://schemas.openxmlformats.org/officeDocument/2006/relationships/hyperlink" Target="~" TargetMode="External" Id="rId99" /><Relationship Type="http://schemas.openxmlformats.org/officeDocument/2006/relationships/hyperlink" Target="https://www.mouser.de/de/ProductDetail/YAGEO/RC0805FR-0710KL?qs=7bY8808IzHq6vrU3BeiiYw%3D%3D" TargetMode="External" Id="rId100" /><Relationship Type="http://schemas.openxmlformats.org/officeDocument/2006/relationships/hyperlink" Target="https://www.digikey.de/de/products/detail/yageo/RC0805FR-0710KL/727535" TargetMode="External" Id="rId101" /><Relationship Type="http://schemas.openxmlformats.org/officeDocument/2006/relationships/hyperlink" Target="~" TargetMode="External" Id="rId102" /><Relationship Type="http://schemas.openxmlformats.org/officeDocument/2006/relationships/hyperlink" Target="https://www.mouser.de/de/ProductDetail/YAGEO/RC0805FR-07220RL?qs=KCkj9j0IqmXa4o%252BHKR6RGw%3D%3D" TargetMode="External" Id="rId103" /><Relationship Type="http://schemas.openxmlformats.org/officeDocument/2006/relationships/hyperlink" Target="https://www.digikey.de/de/products/detail/yageo/RC0805FR-07220RL/727741" TargetMode="External" Id="rId104" /><Relationship Type="http://schemas.openxmlformats.org/officeDocument/2006/relationships/hyperlink" Target="~" TargetMode="External" Id="rId105" /><Relationship Type="http://schemas.openxmlformats.org/officeDocument/2006/relationships/hyperlink" Target="https://www.mouser.de/de/ProductDetail/YAGEO/RC0805JR-070RL?qs=3ldFlDWnkKyEhdaPjQHEFA%3D%3D" TargetMode="External" Id="rId106" /><Relationship Type="http://schemas.openxmlformats.org/officeDocument/2006/relationships/hyperlink" Target="https://www.digikey.de/de/products/detail/yageo/RC0805JR-070RL/728216" TargetMode="External" Id="rId107" /><Relationship Type="http://schemas.openxmlformats.org/officeDocument/2006/relationships/hyperlink" Target="~" TargetMode="External" Id="rId108" /><Relationship Type="http://schemas.openxmlformats.org/officeDocument/2006/relationships/hyperlink" Target="https://www.mouser.de/de/ProductDetail/YAGEO/RC0805FR-0749R9L?qs=VLOqbHBAO5fOTWOXSZvQ2A%3D%3D" TargetMode="External" Id="rId109" /><Relationship Type="http://schemas.openxmlformats.org/officeDocument/2006/relationships/hyperlink" Target="https://www.digikey.de/de/products/detail/yageo/RC0805FR-0749R9L/727984" TargetMode="External" Id="rId110" /><Relationship Type="http://schemas.openxmlformats.org/officeDocument/2006/relationships/hyperlink" Target="~" TargetMode="External" Id="rId111" /><Relationship Type="http://schemas.openxmlformats.org/officeDocument/2006/relationships/hyperlink" Target="https://www.mouser.de/de/ProductDetail/YAGEO/RC0805FR-0710RL?qs=8Y8p%252BasKcI5T5bn0nqNRsw%3D%3D" TargetMode="External" Id="rId112" /><Relationship Type="http://schemas.openxmlformats.org/officeDocument/2006/relationships/hyperlink" Target="https://www.digikey.de/de/products/detail/yageo/RC0805FR-0710RL/727534" TargetMode="External" Id="rId113" /><Relationship Type="http://schemas.openxmlformats.org/officeDocument/2006/relationships/hyperlink" Target="~" TargetMode="External" Id="rId114" /><Relationship Type="http://schemas.openxmlformats.org/officeDocument/2006/relationships/hyperlink" Target="https://www.mouser.de/de/ProductDetail/CK/PTS645VL58-2-LFS?qs=rqnA19JZHeQ3WAdYuSwH%2Fg%3D%3D" TargetMode="External" Id="rId115" /><Relationship Type="http://schemas.openxmlformats.org/officeDocument/2006/relationships/hyperlink" Target="https://www.digikey.de/de/products/detail/c-k/PTS645VL58-2-LFS/1146769" TargetMode="External" Id="rId116" /><Relationship Type="http://schemas.openxmlformats.org/officeDocument/2006/relationships/hyperlink" Target="https://www.ckswitches.com/media/1471/pts645.pdf" TargetMode="External" Id="rId117" /><Relationship Type="http://schemas.openxmlformats.org/officeDocument/2006/relationships/hyperlink" Target="https://www.mouser.de/de/ProductDetail/Wurth-Elektronik/7499011121A?qs=SaTeGCoDkn2VpWS6B7hWdg%3D%3D" TargetMode="External" Id="rId118" /><Relationship Type="http://schemas.openxmlformats.org/officeDocument/2006/relationships/hyperlink" Target="https://www.digikey.de/de/products/detail/w&#252;rth-elektronik/7499011121A/4031599" TargetMode="External" Id="rId119" /><Relationship Type="http://schemas.openxmlformats.org/officeDocument/2006/relationships/hyperlink" Target="https://www.we-online.com/catalog/datasheet/7499011121A.pdf?ki" TargetMode="External" Id="rId120" /><Relationship Type="http://schemas.openxmlformats.org/officeDocument/2006/relationships/hyperlink" Target="https://www.mouser.de/de/ProductDetail/Diodes-Incorporated/D3V3XA4B10LP-7?qs=gZXFycFWdAPojYkoyRsLeQ%3D%3D" TargetMode="External" Id="rId121" /><Relationship Type="http://schemas.openxmlformats.org/officeDocument/2006/relationships/hyperlink" Target="https://www.digikey.de/de/products/detail/diodes-incorporated/D3V3XA4B10LP-7/10295141" TargetMode="External" Id="rId122" /><Relationship Type="http://schemas.openxmlformats.org/officeDocument/2006/relationships/hyperlink" Target="https://www.diodes.com/assets/Datasheets/D3V3XA4B10LP.pdf" TargetMode="External" Id="rId123" /><Relationship Type="http://schemas.openxmlformats.org/officeDocument/2006/relationships/hyperlink" Target="https://www.mouser.de/de/ProductDetail/Espressif-Systems/ESP32-S3-WROOM-1U-N16R8?qs=Li%252BoUPsLEns6V0Pr5KRJtw%3D%3D" TargetMode="External" Id="rId124" /><Relationship Type="http://schemas.openxmlformats.org/officeDocument/2006/relationships/hyperlink" Target="https://www.digikey.de/de/products/detail/espressif-systems/ESP32-S3-WROOM-1U-N16R8/16162641" TargetMode="External" Id="rId125" /><Relationship Type="http://schemas.openxmlformats.org/officeDocument/2006/relationships/hyperlink" Target="https://www.espressif.com/sites/default/files/documentation/esp32-s3-wroom-1_wroom-1u_datasheet_en.pdf" TargetMode="External" Id="rId126" /><Relationship Type="http://schemas.openxmlformats.org/officeDocument/2006/relationships/hyperlink" Target="https://www.mouser.de/de/ProductDetail/WIZnet/W5500?qs=2vh%252B45pPFtzthUpYPd4pqA%3D%3D" TargetMode="External" Id="rId127" /><Relationship Type="http://schemas.openxmlformats.org/officeDocument/2006/relationships/hyperlink" Target="https://www.digikey.de/de/products/detail/wiznet/W5500/4425702" TargetMode="External" Id="rId128" /><Relationship Type="http://schemas.openxmlformats.org/officeDocument/2006/relationships/hyperlink" Target="https://docs.wiznet.io/img/products/w5500/W5500_ds_v110e.pdf" TargetMode="External" Id="rId129" /><Relationship Type="http://schemas.openxmlformats.org/officeDocument/2006/relationships/hyperlink" Target="https://www.mouser.de/de/ProductDetail/Wurth-Elektronik/830059532?qs=2WXlatMagcG66pWFk6sRpA%3D%3D" TargetMode="External" Id="rId130" /><Relationship Type="http://schemas.openxmlformats.org/officeDocument/2006/relationships/hyperlink" Target="https://www.digikey.de/de/products/detail/w&#252;rth-elektronik/830059532/13900377" TargetMode="External" Id="rId131" /><Relationship Type="http://schemas.openxmlformats.org/officeDocument/2006/relationships/hyperlink" Target="https://www.we-online.com/catalog/datasheet/830059532.pdf?ki" TargetMode="External" Id="rId132" /></Relationships>
</file>

<file path=xl/worksheets/sheet1.xml><?xml version="1.0" encoding="utf-8"?>
<worksheet xmlns="http://schemas.openxmlformats.org/spreadsheetml/2006/main">
  <sheetPr>
    <outlinePr summaryBelow="1" summaryRight="1"/>
    <pageSetUpPr/>
  </sheetPr>
  <dimension ref="A1:W55"/>
  <sheetViews>
    <sheetView workbookViewId="0">
      <pane ySplit="5" topLeftCell="A6" activePane="bottomLeft" state="frozen"/>
      <selection pane="bottomLeft" activeCell="A1" sqref="A1"/>
    </sheetView>
  </sheetViews>
  <sheetFormatPr baseColWidth="8" defaultRowHeight="15"/>
  <cols>
    <col width="5" customWidth="1" min="1" max="1"/>
    <col width="7" customWidth="1" min="2" max="2"/>
    <col width="26" customWidth="1" min="3" max="3"/>
    <col width="20" customWidth="1" min="4" max="4"/>
    <col width="8" customWidth="1" min="5" max="5"/>
    <col width="38" customWidth="1" min="6" max="6"/>
    <col width="18" customWidth="1" min="7" max="7"/>
    <col width="24" customWidth="1" min="8" max="8"/>
    <col width="22" customWidth="1" min="9" max="9"/>
    <col width="11" customWidth="1" min="10" max="10"/>
    <col width="9" customWidth="1" min="11" max="11"/>
    <col width="28" customWidth="1" min="12" max="12"/>
    <col width="11" customWidth="1" min="13" max="13"/>
    <col width="9" customWidth="1" min="14" max="14"/>
    <col width="18" customWidth="1" min="15" max="15"/>
    <col width="12" customWidth="1" min="16" max="16"/>
    <col width="12" customWidth="1" min="17" max="17"/>
    <col width="13" customWidth="1" min="18" max="18"/>
    <col width="9" customWidth="1" min="19" max="19"/>
    <col width="9" customWidth="1" min="20" max="20"/>
    <col width="10" customWidth="1" min="21" max="21"/>
    <col width="14" customWidth="1" min="22" max="22"/>
    <col width="60" customWidth="1" min="23" max="23"/>
  </cols>
  <sheetData>
    <row r="1">
      <c r="A1" s="1" t="inlineStr">
        <is>
          <t>Stückliste SmartHome-Basisstation</t>
        </is>
      </c>
    </row>
    <row r="2">
      <c r="A2" t="inlineStr">
        <is>
          <t>Quelle: pcb/BasisStation/*.kicad_sch · Stand 2026-09-29 · 44 Positionen · 78 Bauteile</t>
        </is>
      </c>
    </row>
    <row r="3">
      <c r="A3" s="2" t="inlineStr">
        <is>
          <t>Grün = Preis aus Mouser- bzw. DigiKey-API (Tagespreis, unverbindlich, Staffel passend zur Menge). Fett = günstigerer lieferbarer Preis. Gelb = von Hand zu füllen. Die Bezugsquelle steht auf dem günstigsten Anbieter mit ausreichend Lager und ist per Auswahlliste änderbar; Einzel-, Gesamtpreis und Summen rechnen sich daraus.</t>
        </is>
      </c>
    </row>
    <row r="5">
      <c r="A5" s="3" t="inlineStr">
        <is>
          <t>Pos</t>
        </is>
      </c>
      <c r="B5" s="3" t="inlineStr">
        <is>
          <t>Menge</t>
        </is>
      </c>
      <c r="C5" s="3" t="inlineStr">
        <is>
          <t>Referenzen</t>
        </is>
      </c>
      <c r="D5" s="3" t="inlineStr">
        <is>
          <t>Wert (Schaltplan)</t>
        </is>
      </c>
      <c r="E5" s="3" t="inlineStr">
        <is>
          <t>Technik</t>
        </is>
      </c>
      <c r="F5" s="3" t="inlineStr">
        <is>
          <t>Footprint</t>
        </is>
      </c>
      <c r="G5" s="3" t="inlineStr">
        <is>
          <t>Hersteller</t>
        </is>
      </c>
      <c r="H5" s="3" t="inlineStr">
        <is>
          <t>Hersteller-Teilenr.</t>
        </is>
      </c>
      <c r="I5" s="3" t="inlineStr">
        <is>
          <t>Mouser-Teilenr.</t>
        </is>
      </c>
      <c r="J5" s="3" t="inlineStr">
        <is>
          <t>Mouser EUR</t>
        </is>
      </c>
      <c r="K5" s="3" t="inlineStr">
        <is>
          <t>Mouser Lager</t>
        </is>
      </c>
      <c r="L5" s="3" t="inlineStr">
        <is>
          <t>DigiKey-Teilenr.</t>
        </is>
      </c>
      <c r="M5" s="3" t="inlineStr">
        <is>
          <t>DigiKey EUR</t>
        </is>
      </c>
      <c r="N5" s="3" t="inlineStr">
        <is>
          <t>DigiKey Lager</t>
        </is>
      </c>
      <c r="O5" s="3" t="inlineStr">
        <is>
          <t>Lebenszyklus</t>
        </is>
      </c>
      <c r="P5" s="3" t="inlineStr">
        <is>
          <t>Bezugsquelle</t>
        </is>
      </c>
      <c r="Q5" s="3" t="inlineStr">
        <is>
          <t>Einzelpreis EUR</t>
        </is>
      </c>
      <c r="R5" s="3" t="inlineStr">
        <is>
          <t>Gesamtpreis EUR</t>
        </is>
      </c>
      <c r="S5" s="3" t="inlineStr">
        <is>
          <t>Mouser</t>
        </is>
      </c>
      <c r="T5" s="3" t="inlineStr">
        <is>
          <t>DigiKey</t>
        </is>
      </c>
      <c r="U5" s="3" t="inlineStr">
        <is>
          <t>Datenblatt</t>
        </is>
      </c>
      <c r="V5" s="3" t="inlineStr">
        <is>
          <t>Status</t>
        </is>
      </c>
      <c r="W5" s="3" t="inlineStr">
        <is>
          <t>Hinweis</t>
        </is>
      </c>
    </row>
    <row r="6">
      <c r="A6" s="4" t="n">
        <v>1</v>
      </c>
      <c r="B6" s="4" t="n">
        <v>1</v>
      </c>
      <c r="C6" s="5" t="inlineStr">
        <is>
          <t>ANT1</t>
        </is>
      </c>
      <c r="D6" s="4" t="inlineStr">
        <is>
          <t>CAB.6061</t>
        </is>
      </c>
      <c r="E6" s="4" t="inlineStr"/>
      <c r="F6" s="4" t="inlineStr"/>
      <c r="G6" s="4" t="inlineStr">
        <is>
          <t>Taoglas</t>
        </is>
      </c>
      <c r="H6" s="4" t="inlineStr">
        <is>
          <t>CAB.6061</t>
        </is>
      </c>
      <c r="I6" s="4" t="inlineStr">
        <is>
          <t>960-CAB.6061</t>
        </is>
      </c>
      <c r="J6" s="6" t="n">
        <v>4.47</v>
      </c>
      <c r="K6" s="4" t="n">
        <v>845</v>
      </c>
      <c r="L6" s="4" t="inlineStr">
        <is>
          <t>931-CAB.6061-ND</t>
        </is>
      </c>
      <c r="M6" s="7" t="n">
        <v>4.45</v>
      </c>
      <c r="N6" s="4" t="n">
        <v>897</v>
      </c>
      <c r="O6" s="4" t="inlineStr">
        <is>
          <t>New Product</t>
        </is>
      </c>
      <c r="P6" s="4" t="inlineStr">
        <is>
          <t>DigiKey</t>
        </is>
      </c>
      <c r="Q6" s="8">
        <f>IF(P6="DigiKey",IF(M6="","",M6),IF(P6="Mouser",IF(J6="","",J6),""))</f>
        <v/>
      </c>
      <c r="R6" s="8">
        <f>IF(OR(Q6="",B6=""),"",B6*Q6)</f>
        <v/>
      </c>
      <c r="S6" s="9" t="inlineStr">
        <is>
          <t>Mouser</t>
        </is>
      </c>
      <c r="T6" s="9" t="inlineStr">
        <is>
          <t>DigiKey</t>
        </is>
      </c>
      <c r="U6" s="9" t="inlineStr">
        <is>
          <t>PDF</t>
        </is>
      </c>
      <c r="V6" s="4" t="inlineStr">
        <is>
          <t>eindeutig</t>
        </is>
      </c>
      <c r="W6" s="5" t="inlineStr"/>
    </row>
    <row r="7">
      <c r="A7" s="4" t="n">
        <v>2</v>
      </c>
      <c r="B7" s="4" t="n">
        <v>1</v>
      </c>
      <c r="C7" s="5" t="inlineStr">
        <is>
          <t>ANT2</t>
        </is>
      </c>
      <c r="D7" s="4" t="inlineStr">
        <is>
          <t>GW.20.A151</t>
        </is>
      </c>
      <c r="E7" s="4" t="inlineStr"/>
      <c r="F7" s="4" t="inlineStr"/>
      <c r="G7" s="4" t="inlineStr">
        <is>
          <t>Taoglas</t>
        </is>
      </c>
      <c r="H7" s="4" t="inlineStr">
        <is>
          <t>GW.20.A151</t>
        </is>
      </c>
      <c r="I7" s="4" t="inlineStr">
        <is>
          <t>960-GW.20.A151</t>
        </is>
      </c>
      <c r="J7" s="6" t="n">
        <v>8.460000000000001</v>
      </c>
      <c r="K7" s="4" t="n">
        <v>650</v>
      </c>
      <c r="L7" s="4" t="inlineStr">
        <is>
          <t>931-GW.20.A151-ND</t>
        </is>
      </c>
      <c r="M7" s="7" t="n">
        <v>8.42</v>
      </c>
      <c r="N7" s="4" t="n">
        <v>59</v>
      </c>
      <c r="O7" s="4" t="inlineStr">
        <is>
          <t>Aktiv</t>
        </is>
      </c>
      <c r="P7" s="4" t="inlineStr">
        <is>
          <t>DigiKey</t>
        </is>
      </c>
      <c r="Q7" s="8">
        <f>IF(P7="DigiKey",IF(M7="","",M7),IF(P7="Mouser",IF(J7="","",J7),""))</f>
        <v/>
      </c>
      <c r="R7" s="8">
        <f>IF(OR(Q7="",B7=""),"",B7*Q7)</f>
        <v/>
      </c>
      <c r="S7" s="9" t="inlineStr">
        <is>
          <t>Mouser</t>
        </is>
      </c>
      <c r="T7" s="9" t="inlineStr">
        <is>
          <t>DigiKey</t>
        </is>
      </c>
      <c r="U7" s="9" t="inlineStr">
        <is>
          <t>PDF</t>
        </is>
      </c>
      <c r="V7" s="4" t="inlineStr">
        <is>
          <t>eindeutig</t>
        </is>
      </c>
      <c r="W7" s="5" t="inlineStr"/>
    </row>
    <row r="8">
      <c r="A8" s="4" t="n">
        <v>3</v>
      </c>
      <c r="B8" s="4" t="n">
        <v>3</v>
      </c>
      <c r="C8" s="5" t="inlineStr">
        <is>
          <t>C7, C10, C12</t>
        </is>
      </c>
      <c r="D8" s="4" t="inlineStr">
        <is>
          <t>WCAP-FTXX_P10</t>
        </is>
      </c>
      <c r="E8" s="4" t="inlineStr">
        <is>
          <t>SMD</t>
        </is>
      </c>
      <c r="F8" s="4" t="inlineStr">
        <is>
          <t>WCAP-FTXX_P10:WCAP-FTXX_P10L13W7H13</t>
        </is>
      </c>
      <c r="G8" s="4" t="inlineStr">
        <is>
          <t>Würth Elektronik</t>
        </is>
      </c>
      <c r="H8" s="4" t="inlineStr">
        <is>
          <t>890334023023</t>
        </is>
      </c>
      <c r="I8" s="4" t="inlineStr">
        <is>
          <t>710-890334023023</t>
        </is>
      </c>
      <c r="J8" s="6" t="n">
        <v>0.353</v>
      </c>
      <c r="K8" s="4" t="n">
        <v>1350</v>
      </c>
      <c r="L8" s="4" t="inlineStr">
        <is>
          <t>732-5833-ND</t>
        </is>
      </c>
      <c r="M8" s="7" t="n">
        <v>0.35</v>
      </c>
      <c r="N8" s="4" t="n">
        <v>2491</v>
      </c>
      <c r="O8" s="4" t="inlineStr">
        <is>
          <t>Aktiv</t>
        </is>
      </c>
      <c r="P8" s="4" t="inlineStr">
        <is>
          <t>DigiKey</t>
        </is>
      </c>
      <c r="Q8" s="8">
        <f>IF(P8="DigiKey",IF(M8="","",M8),IF(P8="Mouser",IF(J8="","",J8),""))</f>
        <v/>
      </c>
      <c r="R8" s="8">
        <f>IF(OR(Q8="",B8=""),"",B8*Q8)</f>
        <v/>
      </c>
      <c r="S8" s="9" t="inlineStr">
        <is>
          <t>Mouser</t>
        </is>
      </c>
      <c r="T8" s="9" t="inlineStr">
        <is>
          <t>DigiKey</t>
        </is>
      </c>
      <c r="U8" s="9" t="inlineStr">
        <is>
          <t>PDF</t>
        </is>
      </c>
      <c r="V8" s="4" t="inlineStr">
        <is>
          <t>eindeutig</t>
        </is>
      </c>
      <c r="W8" s="5" t="inlineStr"/>
    </row>
    <row r="9">
      <c r="A9" s="4" t="n">
        <v>4</v>
      </c>
      <c r="B9" s="4" t="n">
        <v>1</v>
      </c>
      <c r="C9" s="5" t="inlineStr">
        <is>
          <t>C8</t>
        </is>
      </c>
      <c r="D9" s="4" t="inlineStr">
        <is>
          <t>WCAP-PT5H_6.3X5.2</t>
        </is>
      </c>
      <c r="E9" s="4" t="inlineStr">
        <is>
          <t>SMD</t>
        </is>
      </c>
      <c r="F9" s="4" t="inlineStr">
        <is>
          <t>WCAP-PT5H_6.3X5.2:WCAP-PT5H_6.3X5.2_DXL_</t>
        </is>
      </c>
      <c r="G9" s="4" t="inlineStr">
        <is>
          <t>Wurth Elektronik</t>
        </is>
      </c>
      <c r="H9" s="4" t="inlineStr">
        <is>
          <t>870235673001</t>
        </is>
      </c>
      <c r="I9" s="4" t="inlineStr">
        <is>
          <t>710-870235673001</t>
        </is>
      </c>
      <c r="J9" s="6" t="n">
        <v>1.36</v>
      </c>
      <c r="K9" s="4" t="n">
        <v>2394</v>
      </c>
      <c r="L9" s="4" t="inlineStr">
        <is>
          <t>732-870235673001CT-ND</t>
        </is>
      </c>
      <c r="M9" s="7" t="n">
        <v>1.35</v>
      </c>
      <c r="N9" s="4" t="n">
        <v>1017</v>
      </c>
      <c r="O9" s="4" t="inlineStr">
        <is>
          <t>Aktiv</t>
        </is>
      </c>
      <c r="P9" s="4" t="inlineStr">
        <is>
          <t>DigiKey</t>
        </is>
      </c>
      <c r="Q9" s="8">
        <f>IF(P9="DigiKey",IF(M9="","",M9),IF(P9="Mouser",IF(J9="","",J9),""))</f>
        <v/>
      </c>
      <c r="R9" s="8">
        <f>IF(OR(Q9="",B9=""),"",B9*Q9)</f>
        <v/>
      </c>
      <c r="S9" s="9" t="inlineStr">
        <is>
          <t>Mouser</t>
        </is>
      </c>
      <c r="T9" s="9" t="inlineStr">
        <is>
          <t>DigiKey</t>
        </is>
      </c>
      <c r="U9" s="9" t="inlineStr">
        <is>
          <t>PDF</t>
        </is>
      </c>
      <c r="V9" s="4" t="inlineStr">
        <is>
          <t>eindeutig</t>
        </is>
      </c>
      <c r="W9" s="5" t="inlineStr"/>
    </row>
    <row r="10">
      <c r="A10" s="4" t="n">
        <v>5</v>
      </c>
      <c r="B10" s="4" t="n">
        <v>2</v>
      </c>
      <c r="C10" s="5" t="inlineStr">
        <is>
          <t>C13, C27</t>
        </is>
      </c>
      <c r="D10" s="4" t="inlineStr">
        <is>
          <t>10uF</t>
        </is>
      </c>
      <c r="E10" s="4" t="inlineStr">
        <is>
          <t>SMD</t>
        </is>
      </c>
      <c r="F10" s="4" t="inlineStr">
        <is>
          <t>Capacitor_SMD:C_0805_2012Metric</t>
        </is>
      </c>
      <c r="G10" s="4" t="inlineStr">
        <is>
          <t>Samsung</t>
        </is>
      </c>
      <c r="H10" s="4" t="inlineStr">
        <is>
          <t>CL21B106KOQNNNE</t>
        </is>
      </c>
      <c r="I10" s="4" t="inlineStr">
        <is>
          <t>187-CL21B106KOQNNNE</t>
        </is>
      </c>
      <c r="J10" s="6" t="n">
        <v>0.421</v>
      </c>
      <c r="K10" s="4" t="n">
        <v>323680</v>
      </c>
      <c r="L10" s="4" t="inlineStr">
        <is>
          <t>1276-2872-1-ND</t>
        </is>
      </c>
      <c r="M10" s="7" t="n">
        <v>0.24</v>
      </c>
      <c r="N10" s="4" t="n">
        <v>277103</v>
      </c>
      <c r="O10" s="4" t="inlineStr">
        <is>
          <t>Aktiv</t>
        </is>
      </c>
      <c r="P10" s="4" t="inlineStr">
        <is>
          <t>DigiKey</t>
        </is>
      </c>
      <c r="Q10" s="8">
        <f>IF(P10="DigiKey",IF(M10="","",M10),IF(P10="Mouser",IF(J10="","",J10),""))</f>
        <v/>
      </c>
      <c r="R10" s="8">
        <f>IF(OR(Q10="",B10=""),"",B10*Q10)</f>
        <v/>
      </c>
      <c r="S10" s="9" t="inlineStr">
        <is>
          <t>Mouser</t>
        </is>
      </c>
      <c r="T10" s="9" t="inlineStr">
        <is>
          <t>DigiKey</t>
        </is>
      </c>
      <c r="U10" s="9" t="inlineStr">
        <is>
          <t>PDF</t>
        </is>
      </c>
      <c r="V10" s="4" t="inlineStr">
        <is>
          <t>eindeutig</t>
        </is>
      </c>
      <c r="W10" s="5" t="inlineStr"/>
    </row>
    <row r="11">
      <c r="A11" s="4" t="n">
        <v>6</v>
      </c>
      <c r="B11" s="4" t="n">
        <v>1</v>
      </c>
      <c r="C11" s="5" t="inlineStr">
        <is>
          <t>C14</t>
        </is>
      </c>
      <c r="D11" s="4" t="inlineStr">
        <is>
          <t>22uF</t>
        </is>
      </c>
      <c r="E11" s="4" t="inlineStr">
        <is>
          <t>SMD</t>
        </is>
      </c>
      <c r="F11" s="4" t="inlineStr">
        <is>
          <t>Capacitor_SMD:C_0805_2012Metric</t>
        </is>
      </c>
      <c r="G11" s="4" t="inlineStr">
        <is>
          <t>Samsung</t>
        </is>
      </c>
      <c r="H11" s="4" t="inlineStr">
        <is>
          <t>CL21A226MOQNNNE</t>
        </is>
      </c>
      <c r="I11" s="4" t="inlineStr">
        <is>
          <t>187-CL21A226MOQNNNE</t>
        </is>
      </c>
      <c r="J11" s="6" t="n">
        <v>0.55</v>
      </c>
      <c r="K11" s="4" t="n">
        <v>2519</v>
      </c>
      <c r="L11" s="4" t="inlineStr">
        <is>
          <t>1276-2909-1-ND</t>
        </is>
      </c>
      <c r="M11" s="7" t="n">
        <v>0.27</v>
      </c>
      <c r="N11" s="4" t="n">
        <v>25218</v>
      </c>
      <c r="O11" s="4" t="inlineStr">
        <is>
          <t>Aktiv</t>
        </is>
      </c>
      <c r="P11" s="4" t="inlineStr">
        <is>
          <t>DigiKey</t>
        </is>
      </c>
      <c r="Q11" s="8">
        <f>IF(P11="DigiKey",IF(M11="","",M11),IF(P11="Mouser",IF(J11="","",J11),""))</f>
        <v/>
      </c>
      <c r="R11" s="8">
        <f>IF(OR(Q11="",B11=""),"",B11*Q11)</f>
        <v/>
      </c>
      <c r="S11" s="9" t="inlineStr">
        <is>
          <t>Mouser</t>
        </is>
      </c>
      <c r="T11" s="9" t="inlineStr">
        <is>
          <t>DigiKey</t>
        </is>
      </c>
      <c r="U11" s="9" t="inlineStr">
        <is>
          <t>PDF</t>
        </is>
      </c>
      <c r="V11" s="4" t="inlineStr">
        <is>
          <t>eindeutig</t>
        </is>
      </c>
      <c r="W11" s="5" t="inlineStr"/>
    </row>
    <row r="12">
      <c r="A12" s="4" t="n">
        <v>7</v>
      </c>
      <c r="B12" s="4" t="n">
        <v>8</v>
      </c>
      <c r="C12" s="5" t="inlineStr">
        <is>
          <t>C15, C16, C17, C18, C19, C20, C21, C22</t>
        </is>
      </c>
      <c r="D12" s="4" t="inlineStr">
        <is>
          <t>100 nF</t>
        </is>
      </c>
      <c r="E12" s="4" t="inlineStr">
        <is>
          <t>SMD</t>
        </is>
      </c>
      <c r="F12" s="4" t="inlineStr">
        <is>
          <t>Capacitor_SMD:C_0805_2012Metric</t>
        </is>
      </c>
      <c r="G12" s="4" t="inlineStr">
        <is>
          <t>YAGEO</t>
        </is>
      </c>
      <c r="H12" s="4" t="inlineStr">
        <is>
          <t>CC0805KRX7R9BB104</t>
        </is>
      </c>
      <c r="I12" s="4" t="inlineStr">
        <is>
          <t>603-CC805KRX7R9BB104</t>
        </is>
      </c>
      <c r="J12" s="7" t="n">
        <v>0.12</v>
      </c>
      <c r="K12" s="4" t="n">
        <v>1217786</v>
      </c>
      <c r="L12" s="4" t="inlineStr">
        <is>
          <t>311-1140-1-ND</t>
        </is>
      </c>
      <c r="M12" s="6" t="n">
        <v>0.15</v>
      </c>
      <c r="N12" s="4" t="n">
        <v>1635243</v>
      </c>
      <c r="O12" s="4" t="inlineStr">
        <is>
          <t>Aktiv</t>
        </is>
      </c>
      <c r="P12" s="4" t="inlineStr">
        <is>
          <t>Mouser</t>
        </is>
      </c>
      <c r="Q12" s="8">
        <f>IF(P12="DigiKey",IF(M12="","",M12),IF(P12="Mouser",IF(J12="","",J12),""))</f>
        <v/>
      </c>
      <c r="R12" s="8">
        <f>IF(OR(Q12="",B12=""),"",B12*Q12)</f>
        <v/>
      </c>
      <c r="S12" s="9" t="inlineStr">
        <is>
          <t>Mouser</t>
        </is>
      </c>
      <c r="T12" s="9" t="inlineStr">
        <is>
          <t>DigiKey</t>
        </is>
      </c>
      <c r="U12" s="9" t="inlineStr">
        <is>
          <t>PDF</t>
        </is>
      </c>
      <c r="V12" s="4" t="inlineStr">
        <is>
          <t>eindeutig</t>
        </is>
      </c>
      <c r="W12" s="5" t="inlineStr"/>
    </row>
    <row r="13">
      <c r="A13" s="4" t="n">
        <v>8</v>
      </c>
      <c r="B13" s="4" t="n">
        <v>1</v>
      </c>
      <c r="C13" s="5" t="inlineStr">
        <is>
          <t>C23</t>
        </is>
      </c>
      <c r="D13" s="4" t="inlineStr">
        <is>
          <t>4,7 µF</t>
        </is>
      </c>
      <c r="E13" s="4" t="inlineStr">
        <is>
          <t>SMD</t>
        </is>
      </c>
      <c r="F13" s="4" t="inlineStr">
        <is>
          <t>Capacitor_SMD:C_0805_2012Metric</t>
        </is>
      </c>
      <c r="G13" s="4" t="inlineStr">
        <is>
          <t>Samsung</t>
        </is>
      </c>
      <c r="H13" s="4" t="inlineStr">
        <is>
          <t>CL21A475KAQNNNE</t>
        </is>
      </c>
      <c r="I13" s="4" t="inlineStr">
        <is>
          <t>187-CL21A475KAQNNNE</t>
        </is>
      </c>
      <c r="J13" s="6" t="n">
        <v>0.138</v>
      </c>
      <c r="K13" s="4" t="n">
        <v>201</v>
      </c>
      <c r="L13" s="4" t="inlineStr">
        <is>
          <t>1276-1244-1-ND</t>
        </is>
      </c>
      <c r="M13" s="6" t="n">
        <v>0.11</v>
      </c>
      <c r="N13" s="10" t="n">
        <v>0</v>
      </c>
      <c r="O13" s="4" t="inlineStr">
        <is>
          <t>Aktiv</t>
        </is>
      </c>
      <c r="P13" s="4" t="inlineStr">
        <is>
          <t>Mouser</t>
        </is>
      </c>
      <c r="Q13" s="8">
        <f>IF(P13="DigiKey",IF(M13="","",M13),IF(P13="Mouser",IF(J13="","",J13),""))</f>
        <v/>
      </c>
      <c r="R13" s="8">
        <f>IF(OR(Q13="",B13=""),"",B13*Q13)</f>
        <v/>
      </c>
      <c r="S13" s="9" t="inlineStr">
        <is>
          <t>Mouser</t>
        </is>
      </c>
      <c r="T13" s="9" t="inlineStr">
        <is>
          <t>DigiKey</t>
        </is>
      </c>
      <c r="U13" s="9" t="inlineStr">
        <is>
          <t>PDF</t>
        </is>
      </c>
      <c r="V13" s="4" t="inlineStr">
        <is>
          <t>eindeutig</t>
        </is>
      </c>
      <c r="W13" s="5" t="inlineStr">
        <is>
          <t>Bei DigiKey nicht ausreichend ab Lager (0) — nur über Mouser.</t>
        </is>
      </c>
    </row>
    <row r="14">
      <c r="A14" s="4" t="n">
        <v>9</v>
      </c>
      <c r="B14" s="4" t="n">
        <v>2</v>
      </c>
      <c r="C14" s="5" t="inlineStr">
        <is>
          <t>C24, C31</t>
        </is>
      </c>
      <c r="D14" s="4" t="inlineStr">
        <is>
          <t>10nF</t>
        </is>
      </c>
      <c r="E14" s="4" t="inlineStr">
        <is>
          <t>SMD</t>
        </is>
      </c>
      <c r="F14" s="4" t="inlineStr">
        <is>
          <t>Capacitor_SMD:C_0805_2012Metric</t>
        </is>
      </c>
      <c r="G14" s="4" t="inlineStr">
        <is>
          <t>YAGEO</t>
        </is>
      </c>
      <c r="H14" s="4" t="inlineStr">
        <is>
          <t>CC0805KRX7R9BB103</t>
        </is>
      </c>
      <c r="I14" s="4" t="inlineStr">
        <is>
          <t>603-CC805KRX7R9BB103</t>
        </is>
      </c>
      <c r="J14" s="6" t="n">
        <v>0.146</v>
      </c>
      <c r="K14" s="4" t="n">
        <v>358983</v>
      </c>
      <c r="L14" s="4" t="inlineStr">
        <is>
          <t>311-1136-1-ND</t>
        </is>
      </c>
      <c r="M14" s="7" t="n">
        <v>0.12</v>
      </c>
      <c r="N14" s="4" t="n">
        <v>234857</v>
      </c>
      <c r="O14" s="4" t="inlineStr">
        <is>
          <t>Aktiv</t>
        </is>
      </c>
      <c r="P14" s="4" t="inlineStr">
        <is>
          <t>DigiKey</t>
        </is>
      </c>
      <c r="Q14" s="8">
        <f>IF(P14="DigiKey",IF(M14="","",M14),IF(P14="Mouser",IF(J14="","",J14),""))</f>
        <v/>
      </c>
      <c r="R14" s="8">
        <f>IF(OR(Q14="",B14=""),"",B14*Q14)</f>
        <v/>
      </c>
      <c r="S14" s="9" t="inlineStr">
        <is>
          <t>Mouser</t>
        </is>
      </c>
      <c r="T14" s="9" t="inlineStr">
        <is>
          <t>DigiKey</t>
        </is>
      </c>
      <c r="U14" s="9" t="inlineStr">
        <is>
          <t>PDF</t>
        </is>
      </c>
      <c r="V14" s="4" t="inlineStr">
        <is>
          <t>eindeutig</t>
        </is>
      </c>
      <c r="W14" s="5" t="inlineStr"/>
    </row>
    <row r="15">
      <c r="A15" s="4" t="n">
        <v>10</v>
      </c>
      <c r="B15" s="4" t="n">
        <v>2</v>
      </c>
      <c r="C15" s="5" t="inlineStr">
        <is>
          <t>C25, C26</t>
        </is>
      </c>
      <c r="D15" s="4" t="inlineStr">
        <is>
          <t>27 pF</t>
        </is>
      </c>
      <c r="E15" s="4" t="inlineStr">
        <is>
          <t>SMD</t>
        </is>
      </c>
      <c r="F15" s="4" t="inlineStr">
        <is>
          <t>Capacitor_SMD:C_0805_2012Metric</t>
        </is>
      </c>
      <c r="G15" s="4" t="inlineStr">
        <is>
          <t>YAGEO</t>
        </is>
      </c>
      <c r="H15" s="4" t="inlineStr">
        <is>
          <t>CC0805JRNPO9BN270</t>
        </is>
      </c>
      <c r="I15" s="4" t="inlineStr">
        <is>
          <t>603-CC805JRNPO9BN270</t>
        </is>
      </c>
      <c r="J15" s="6" t="n">
        <v>0.103</v>
      </c>
      <c r="K15" s="4" t="n">
        <v>40719</v>
      </c>
      <c r="L15" s="4" t="inlineStr">
        <is>
          <t>311-1104-1-ND</t>
        </is>
      </c>
      <c r="M15" s="6" t="n">
        <v>0.14</v>
      </c>
      <c r="N15" s="10" t="n">
        <v>0</v>
      </c>
      <c r="O15" s="4" t="inlineStr">
        <is>
          <t>Aktiv</t>
        </is>
      </c>
      <c r="P15" s="4" t="inlineStr">
        <is>
          <t>Mouser</t>
        </is>
      </c>
      <c r="Q15" s="8">
        <f>IF(P15="DigiKey",IF(M15="","",M15),IF(P15="Mouser",IF(J15="","",J15),""))</f>
        <v/>
      </c>
      <c r="R15" s="8">
        <f>IF(OR(Q15="",B15=""),"",B15*Q15)</f>
        <v/>
      </c>
      <c r="S15" s="9" t="inlineStr">
        <is>
          <t>Mouser</t>
        </is>
      </c>
      <c r="T15" s="9" t="inlineStr">
        <is>
          <t>DigiKey</t>
        </is>
      </c>
      <c r="U15" s="9" t="inlineStr">
        <is>
          <t>PDF</t>
        </is>
      </c>
      <c r="V15" s="4" t="inlineStr">
        <is>
          <t>eindeutig</t>
        </is>
      </c>
      <c r="W15" s="5" t="inlineStr">
        <is>
          <t>Bei DigiKey nicht ausreichend ab Lager (0) — nur über Mouser.</t>
        </is>
      </c>
    </row>
    <row r="16">
      <c r="A16" s="4" t="n">
        <v>11</v>
      </c>
      <c r="B16" s="4" t="n">
        <v>1</v>
      </c>
      <c r="C16" s="5" t="inlineStr">
        <is>
          <t>C28</t>
        </is>
      </c>
      <c r="D16" s="4" t="inlineStr">
        <is>
          <t>1nF/2kV</t>
        </is>
      </c>
      <c r="E16" s="4" t="inlineStr">
        <is>
          <t>SMD</t>
        </is>
      </c>
      <c r="F16" s="4" t="inlineStr">
        <is>
          <t>Capacitor_SMD:C_1206_3216Metric</t>
        </is>
      </c>
      <c r="G16" s="4" t="inlineStr">
        <is>
          <t>KEMET</t>
        </is>
      </c>
      <c r="H16" s="4" t="inlineStr">
        <is>
          <t>C1206C102KGRACTU</t>
        </is>
      </c>
      <c r="I16" s="4" t="inlineStr">
        <is>
          <t>80-C1206C102KGR</t>
        </is>
      </c>
      <c r="J16" s="6" t="n">
        <v>1.33</v>
      </c>
      <c r="K16" s="4" t="n">
        <v>196492</v>
      </c>
      <c r="L16" s="4" t="inlineStr">
        <is>
          <t>399-C1206C102KGRACTUCT-ND</t>
        </is>
      </c>
      <c r="M16" s="6" t="n">
        <v>1.33</v>
      </c>
      <c r="N16" s="4" t="n">
        <v>605024</v>
      </c>
      <c r="O16" s="4" t="inlineStr">
        <is>
          <t>Aktiv</t>
        </is>
      </c>
      <c r="P16" s="4" t="inlineStr">
        <is>
          <t>DigiKey</t>
        </is>
      </c>
      <c r="Q16" s="8">
        <f>IF(P16="DigiKey",IF(M16="","",M16),IF(P16="Mouser",IF(J16="","",J16),""))</f>
        <v/>
      </c>
      <c r="R16" s="8">
        <f>IF(OR(Q16="",B16=""),"",B16*Q16)</f>
        <v/>
      </c>
      <c r="S16" s="9" t="inlineStr">
        <is>
          <t>Mouser</t>
        </is>
      </c>
      <c r="T16" s="9" t="inlineStr">
        <is>
          <t>DigiKey</t>
        </is>
      </c>
      <c r="U16" s="9" t="inlineStr">
        <is>
          <t>PDF</t>
        </is>
      </c>
      <c r="V16" s="4" t="inlineStr">
        <is>
          <t>eindeutig</t>
        </is>
      </c>
      <c r="W16" s="5" t="inlineStr"/>
    </row>
    <row r="17">
      <c r="A17" s="4" t="n">
        <v>12</v>
      </c>
      <c r="B17" s="4" t="n">
        <v>2</v>
      </c>
      <c r="C17" s="5" t="inlineStr">
        <is>
          <t>C29, C30</t>
        </is>
      </c>
      <c r="D17" s="4" t="inlineStr">
        <is>
          <t>6,8nF</t>
        </is>
      </c>
      <c r="E17" s="4" t="inlineStr">
        <is>
          <t>SMD</t>
        </is>
      </c>
      <c r="F17" s="4" t="inlineStr">
        <is>
          <t>Capacitor_SMD:C_0805_2012Metric</t>
        </is>
      </c>
      <c r="G17" s="4" t="inlineStr">
        <is>
          <t>YAGEO</t>
        </is>
      </c>
      <c r="H17" s="4" t="inlineStr">
        <is>
          <t>CC0805KRX7R9BB682</t>
        </is>
      </c>
      <c r="I17" s="4" t="inlineStr">
        <is>
          <t>603-CC805KRX7R9BB682</t>
        </is>
      </c>
      <c r="J17" s="7" t="n">
        <v>0.112</v>
      </c>
      <c r="K17" s="4" t="n">
        <v>23242</v>
      </c>
      <c r="L17" s="4" t="inlineStr">
        <is>
          <t>311-1135-1-ND</t>
        </is>
      </c>
      <c r="M17" s="6" t="n">
        <v>0.12</v>
      </c>
      <c r="N17" s="4" t="n">
        <v>1630</v>
      </c>
      <c r="O17" s="4" t="inlineStr">
        <is>
          <t>Aktiv</t>
        </is>
      </c>
      <c r="P17" s="4" t="inlineStr">
        <is>
          <t>Mouser</t>
        </is>
      </c>
      <c r="Q17" s="8">
        <f>IF(P17="DigiKey",IF(M17="","",M17),IF(P17="Mouser",IF(J17="","",J17),""))</f>
        <v/>
      </c>
      <c r="R17" s="8">
        <f>IF(OR(Q17="",B17=""),"",B17*Q17)</f>
        <v/>
      </c>
      <c r="S17" s="9" t="inlineStr">
        <is>
          <t>Mouser</t>
        </is>
      </c>
      <c r="T17" s="9" t="inlineStr">
        <is>
          <t>DigiKey</t>
        </is>
      </c>
      <c r="U17" s="9" t="inlineStr">
        <is>
          <t>PDF</t>
        </is>
      </c>
      <c r="V17" s="4" t="inlineStr">
        <is>
          <t>eindeutig</t>
        </is>
      </c>
      <c r="W17" s="5" t="inlineStr"/>
    </row>
    <row r="18">
      <c r="A18" s="4" t="n">
        <v>13</v>
      </c>
      <c r="B18" s="4" t="n">
        <v>1</v>
      </c>
      <c r="C18" s="5" t="inlineStr">
        <is>
          <t>C32</t>
        </is>
      </c>
      <c r="D18" s="4" t="inlineStr">
        <is>
          <t>22nF</t>
        </is>
      </c>
      <c r="E18" s="4" t="inlineStr">
        <is>
          <t>SMD</t>
        </is>
      </c>
      <c r="F18" s="4" t="inlineStr">
        <is>
          <t>Capacitor_SMD:C_0805_2012Metric</t>
        </is>
      </c>
      <c r="G18" s="4" t="inlineStr">
        <is>
          <t>Samsung</t>
        </is>
      </c>
      <c r="H18" s="4" t="inlineStr">
        <is>
          <t>CL21B223KBANNNC</t>
        </is>
      </c>
      <c r="I18" s="4" t="inlineStr">
        <is>
          <t>187-CL21B223KBANNNC</t>
        </is>
      </c>
      <c r="J18" s="6" t="n">
        <v>0.138</v>
      </c>
      <c r="K18" s="4" t="n">
        <v>3047</v>
      </c>
      <c r="L18" s="4" t="inlineStr">
        <is>
          <t>1276-1081-1-ND</t>
        </is>
      </c>
      <c r="M18" s="7" t="n">
        <v>0.09</v>
      </c>
      <c r="N18" s="4" t="n">
        <v>9435</v>
      </c>
      <c r="O18" s="4" t="inlineStr">
        <is>
          <t>Aktiv</t>
        </is>
      </c>
      <c r="P18" s="4" t="inlineStr">
        <is>
          <t>DigiKey</t>
        </is>
      </c>
      <c r="Q18" s="8">
        <f>IF(P18="DigiKey",IF(M18="","",M18),IF(P18="Mouser",IF(J18="","",J18),""))</f>
        <v/>
      </c>
      <c r="R18" s="8">
        <f>IF(OR(Q18="",B18=""),"",B18*Q18)</f>
        <v/>
      </c>
      <c r="S18" s="9" t="inlineStr">
        <is>
          <t>Mouser</t>
        </is>
      </c>
      <c r="T18" s="9" t="inlineStr">
        <is>
          <t>DigiKey</t>
        </is>
      </c>
      <c r="U18" s="9" t="inlineStr">
        <is>
          <t>PDF</t>
        </is>
      </c>
      <c r="V18" s="4" t="inlineStr">
        <is>
          <t>eindeutig</t>
        </is>
      </c>
      <c r="W18" s="5" t="inlineStr"/>
    </row>
    <row r="19">
      <c r="A19" s="4" t="n">
        <v>14</v>
      </c>
      <c r="B19" s="4" t="n">
        <v>1</v>
      </c>
      <c r="C19" s="5" t="inlineStr">
        <is>
          <t>D7</t>
        </is>
      </c>
      <c r="D19" s="4" t="inlineStr">
        <is>
          <t>YELLOW</t>
        </is>
      </c>
      <c r="E19" s="4" t="inlineStr">
        <is>
          <t>THT</t>
        </is>
      </c>
      <c r="F19" s="4" t="inlineStr">
        <is>
          <t>WL-TMRC_3MM:WL-TMRC_3MM</t>
        </is>
      </c>
      <c r="G19" s="4" t="inlineStr">
        <is>
          <t>Wurth Electronics</t>
        </is>
      </c>
      <c r="H19" s="4" t="inlineStr">
        <is>
          <t>151031YS05900</t>
        </is>
      </c>
      <c r="I19" s="4" t="inlineStr">
        <is>
          <t>710-151031YS05900</t>
        </is>
      </c>
      <c r="J19" s="7" t="n">
        <v>0.146</v>
      </c>
      <c r="K19" s="4" t="n">
        <v>1693</v>
      </c>
      <c r="L19" s="4" t="inlineStr">
        <is>
          <t>732-5009-ND</t>
        </is>
      </c>
      <c r="M19" s="6" t="n">
        <v>0.15</v>
      </c>
      <c r="N19" s="4" t="n">
        <v>3781</v>
      </c>
      <c r="O19" s="4" t="inlineStr">
        <is>
          <t>Aktiv</t>
        </is>
      </c>
      <c r="P19" s="4" t="inlineStr">
        <is>
          <t>Mouser</t>
        </is>
      </c>
      <c r="Q19" s="8">
        <f>IF(P19="DigiKey",IF(M19="","",M19),IF(P19="Mouser",IF(J19="","",J19),""))</f>
        <v/>
      </c>
      <c r="R19" s="8">
        <f>IF(OR(Q19="",B19=""),"",B19*Q19)</f>
        <v/>
      </c>
      <c r="S19" s="9" t="inlineStr">
        <is>
          <t>Mouser</t>
        </is>
      </c>
      <c r="T19" s="9" t="inlineStr">
        <is>
          <t>DigiKey</t>
        </is>
      </c>
      <c r="U19" s="9" t="inlineStr">
        <is>
          <t>PDF</t>
        </is>
      </c>
      <c r="V19" s="4" t="inlineStr">
        <is>
          <t>eindeutig</t>
        </is>
      </c>
      <c r="W19" s="5" t="inlineStr"/>
    </row>
    <row r="20">
      <c r="A20" s="4" t="n">
        <v>15</v>
      </c>
      <c r="B20" s="4" t="n">
        <v>1</v>
      </c>
      <c r="C20" s="5" t="inlineStr">
        <is>
          <t>D8</t>
        </is>
      </c>
      <c r="D20" s="4" t="inlineStr">
        <is>
          <t>BLUE</t>
        </is>
      </c>
      <c r="E20" s="4" t="inlineStr">
        <is>
          <t>THT</t>
        </is>
      </c>
      <c r="F20" s="4" t="inlineStr">
        <is>
          <t>WL-TMRW_3MM:WL-TMRW_3MM</t>
        </is>
      </c>
      <c r="G20" s="4" t="inlineStr">
        <is>
          <t>Würth Elektronik</t>
        </is>
      </c>
      <c r="H20" s="4" t="inlineStr">
        <is>
          <t>151033BS03000</t>
        </is>
      </c>
      <c r="I20" s="4" t="inlineStr">
        <is>
          <t>710-151033BS03000</t>
        </is>
      </c>
      <c r="J20" s="6" t="n">
        <v>0.232</v>
      </c>
      <c r="K20" s="4" t="n">
        <v>7884</v>
      </c>
      <c r="L20" s="4" t="inlineStr">
        <is>
          <t>732-5011-ND</t>
        </is>
      </c>
      <c r="M20" s="7" t="n">
        <v>0.22</v>
      </c>
      <c r="N20" s="4" t="n">
        <v>9093</v>
      </c>
      <c r="O20" s="4" t="inlineStr">
        <is>
          <t>Aktiv</t>
        </is>
      </c>
      <c r="P20" s="4" t="inlineStr">
        <is>
          <t>DigiKey</t>
        </is>
      </c>
      <c r="Q20" s="8">
        <f>IF(P20="DigiKey",IF(M20="","",M20),IF(P20="Mouser",IF(J20="","",J20),""))</f>
        <v/>
      </c>
      <c r="R20" s="8">
        <f>IF(OR(Q20="",B20=""),"",B20*Q20)</f>
        <v/>
      </c>
      <c r="S20" s="9" t="inlineStr">
        <is>
          <t>Mouser</t>
        </is>
      </c>
      <c r="T20" s="9" t="inlineStr">
        <is>
          <t>DigiKey</t>
        </is>
      </c>
      <c r="U20" s="9" t="inlineStr">
        <is>
          <t>PDF</t>
        </is>
      </c>
      <c r="V20" s="4" t="inlineStr">
        <is>
          <t>eindeutig</t>
        </is>
      </c>
      <c r="W20" s="5" t="inlineStr"/>
    </row>
    <row r="21">
      <c r="A21" s="4" t="n">
        <v>16</v>
      </c>
      <c r="B21" s="4" t="n">
        <v>1</v>
      </c>
      <c r="C21" s="5" t="inlineStr">
        <is>
          <t>D9</t>
        </is>
      </c>
      <c r="D21" s="4" t="inlineStr">
        <is>
          <t>RED</t>
        </is>
      </c>
      <c r="E21" s="4" t="inlineStr">
        <is>
          <t>THT</t>
        </is>
      </c>
      <c r="F21" s="4" t="inlineStr">
        <is>
          <t>WL-TMRW_3MM:WL-TMRW_3MM</t>
        </is>
      </c>
      <c r="G21" s="4" t="inlineStr">
        <is>
          <t>Würth Elektronik</t>
        </is>
      </c>
      <c r="H21" s="4" t="inlineStr">
        <is>
          <t>151033RS03000</t>
        </is>
      </c>
      <c r="I21" s="4" t="inlineStr">
        <is>
          <t>710-151033RS03000</t>
        </is>
      </c>
      <c r="J21" s="7" t="n">
        <v>0.146</v>
      </c>
      <c r="K21" s="4" t="n">
        <v>34357</v>
      </c>
      <c r="L21" s="4" t="inlineStr">
        <is>
          <t>732-5013-ND</t>
        </is>
      </c>
      <c r="M21" s="6" t="n">
        <v>0.15</v>
      </c>
      <c r="N21" s="4" t="n">
        <v>57977</v>
      </c>
      <c r="O21" s="4" t="inlineStr">
        <is>
          <t>Aktiv</t>
        </is>
      </c>
      <c r="P21" s="4" t="inlineStr">
        <is>
          <t>Mouser</t>
        </is>
      </c>
      <c r="Q21" s="8">
        <f>IF(P21="DigiKey",IF(M21="","",M21),IF(P21="Mouser",IF(J21="","",J21),""))</f>
        <v/>
      </c>
      <c r="R21" s="8">
        <f>IF(OR(Q21="",B21=""),"",B21*Q21)</f>
        <v/>
      </c>
      <c r="S21" s="9" t="inlineStr">
        <is>
          <t>Mouser</t>
        </is>
      </c>
      <c r="T21" s="9" t="inlineStr">
        <is>
          <t>DigiKey</t>
        </is>
      </c>
      <c r="U21" s="9" t="inlineStr">
        <is>
          <t>PDF</t>
        </is>
      </c>
      <c r="V21" s="4" t="inlineStr">
        <is>
          <t>eindeutig</t>
        </is>
      </c>
      <c r="W21" s="5" t="inlineStr"/>
    </row>
    <row r="22">
      <c r="A22" s="4" t="n">
        <v>17</v>
      </c>
      <c r="B22" s="4" t="n">
        <v>1</v>
      </c>
      <c r="C22" s="5" t="inlineStr">
        <is>
          <t>D10</t>
        </is>
      </c>
      <c r="D22" s="4" t="inlineStr">
        <is>
          <t>GREEN</t>
        </is>
      </c>
      <c r="E22" s="4" t="inlineStr">
        <is>
          <t>THT</t>
        </is>
      </c>
      <c r="F22" s="4" t="inlineStr">
        <is>
          <t>WL-TMRC_3MM:WL-TMRC_3MM</t>
        </is>
      </c>
      <c r="G22" s="4" t="inlineStr">
        <is>
          <t>Würth Elektronik</t>
        </is>
      </c>
      <c r="H22" s="4" t="inlineStr">
        <is>
          <t>151031VS06000</t>
        </is>
      </c>
      <c r="I22" s="4" t="inlineStr">
        <is>
          <t>710-151031VS06000</t>
        </is>
      </c>
      <c r="J22" s="7" t="n">
        <v>0.138</v>
      </c>
      <c r="K22" s="4" t="n">
        <v>23526</v>
      </c>
      <c r="L22" s="4" t="inlineStr">
        <is>
          <t>732-5008-ND</t>
        </is>
      </c>
      <c r="M22" s="6" t="n">
        <v>0.14</v>
      </c>
      <c r="N22" s="4" t="n">
        <v>53301</v>
      </c>
      <c r="O22" s="4" t="inlineStr">
        <is>
          <t>Aktiv</t>
        </is>
      </c>
      <c r="P22" s="4" t="inlineStr">
        <is>
          <t>Mouser</t>
        </is>
      </c>
      <c r="Q22" s="8">
        <f>IF(P22="DigiKey",IF(M22="","",M22),IF(P22="Mouser",IF(J22="","",J22),""))</f>
        <v/>
      </c>
      <c r="R22" s="8">
        <f>IF(OR(Q22="",B22=""),"",B22*Q22)</f>
        <v/>
      </c>
      <c r="S22" s="9" t="inlineStr">
        <is>
          <t>Mouser</t>
        </is>
      </c>
      <c r="T22" s="9" t="inlineStr">
        <is>
          <t>DigiKey</t>
        </is>
      </c>
      <c r="U22" s="9" t="inlineStr">
        <is>
          <t>PDF</t>
        </is>
      </c>
      <c r="V22" s="4" t="inlineStr">
        <is>
          <t>eindeutig</t>
        </is>
      </c>
      <c r="W22" s="5" t="inlineStr"/>
    </row>
    <row r="23">
      <c r="A23" s="4" t="n">
        <v>18</v>
      </c>
      <c r="B23" s="4" t="n">
        <v>1</v>
      </c>
      <c r="C23" s="5" t="inlineStr">
        <is>
          <t>D11</t>
        </is>
      </c>
      <c r="D23" s="4" t="inlineStr">
        <is>
          <t>SS34</t>
        </is>
      </c>
      <c r="E23" s="4" t="inlineStr">
        <is>
          <t>SMD</t>
        </is>
      </c>
      <c r="F23" s="4" t="inlineStr">
        <is>
          <t>Diode_SMD:D_SMA</t>
        </is>
      </c>
      <c r="G23" s="4" t="inlineStr">
        <is>
          <t>Comchip Technology</t>
        </is>
      </c>
      <c r="H23" s="4" t="inlineStr">
        <is>
          <t>SS34-HF</t>
        </is>
      </c>
      <c r="I23" s="4" t="inlineStr">
        <is>
          <t>750-SS34-HF</t>
        </is>
      </c>
      <c r="J23" s="6" t="n">
        <v>0.464</v>
      </c>
      <c r="K23" s="4" t="n">
        <v>22099</v>
      </c>
      <c r="L23" s="4" t="inlineStr">
        <is>
          <t>641-2115-1-ND</t>
        </is>
      </c>
      <c r="M23" s="7" t="n">
        <v>0.46</v>
      </c>
      <c r="N23" s="4" t="n">
        <v>53701</v>
      </c>
      <c r="O23" s="4" t="inlineStr">
        <is>
          <t>Aktiv</t>
        </is>
      </c>
      <c r="P23" s="4" t="inlineStr">
        <is>
          <t>DigiKey</t>
        </is>
      </c>
      <c r="Q23" s="8">
        <f>IF(P23="DigiKey",IF(M23="","",M23),IF(P23="Mouser",IF(J23="","",J23),""))</f>
        <v/>
      </c>
      <c r="R23" s="8">
        <f>IF(OR(Q23="",B23=""),"",B23*Q23)</f>
        <v/>
      </c>
      <c r="S23" s="9" t="inlineStr">
        <is>
          <t>Mouser</t>
        </is>
      </c>
      <c r="T23" s="9" t="inlineStr">
        <is>
          <t>DigiKey</t>
        </is>
      </c>
      <c r="U23" s="9" t="inlineStr">
        <is>
          <t>PDF</t>
        </is>
      </c>
      <c r="V23" s="4" t="inlineStr">
        <is>
          <t>eindeutig</t>
        </is>
      </c>
      <c r="W23" s="5" t="inlineStr"/>
    </row>
    <row r="24">
      <c r="A24" s="4" t="n">
        <v>19</v>
      </c>
      <c r="B24" s="4" t="n">
        <v>1</v>
      </c>
      <c r="C24" s="5" t="inlineStr">
        <is>
          <t>D12</t>
        </is>
      </c>
      <c r="D24" s="4" t="inlineStr">
        <is>
          <t>SMAJ5.0A</t>
        </is>
      </c>
      <c r="E24" s="4" t="inlineStr">
        <is>
          <t>SMD</t>
        </is>
      </c>
      <c r="F24" s="4" t="inlineStr">
        <is>
          <t>Diode_SMD:D_SMA</t>
        </is>
      </c>
      <c r="G24" s="4" t="inlineStr">
        <is>
          <t>Littelfuse</t>
        </is>
      </c>
      <c r="H24" s="4" t="inlineStr">
        <is>
          <t>SMAJ5.0A</t>
        </is>
      </c>
      <c r="I24" s="4" t="inlineStr">
        <is>
          <t>576-SMAJ5.0A</t>
        </is>
      </c>
      <c r="J24" s="7" t="n">
        <v>0.378</v>
      </c>
      <c r="K24" s="4" t="n">
        <v>24423</v>
      </c>
      <c r="L24" s="4" t="inlineStr">
        <is>
          <t>SMAJ5.0ALFCT-ND</t>
        </is>
      </c>
      <c r="M24" s="6" t="n">
        <v>0.43</v>
      </c>
      <c r="N24" s="4" t="n">
        <v>167714</v>
      </c>
      <c r="O24" s="4" t="inlineStr">
        <is>
          <t>Aktiv</t>
        </is>
      </c>
      <c r="P24" s="4" t="inlineStr">
        <is>
          <t>Mouser</t>
        </is>
      </c>
      <c r="Q24" s="8">
        <f>IF(P24="DigiKey",IF(M24="","",M24),IF(P24="Mouser",IF(J24="","",J24),""))</f>
        <v/>
      </c>
      <c r="R24" s="8">
        <f>IF(OR(Q24="",B24=""),"",B24*Q24)</f>
        <v/>
      </c>
      <c r="S24" s="9" t="inlineStr">
        <is>
          <t>Mouser</t>
        </is>
      </c>
      <c r="T24" s="9" t="inlineStr">
        <is>
          <t>DigiKey</t>
        </is>
      </c>
      <c r="U24" s="9" t="inlineStr">
        <is>
          <t>PDF</t>
        </is>
      </c>
      <c r="V24" s="4" t="inlineStr">
        <is>
          <t>eindeutig</t>
        </is>
      </c>
      <c r="W24" s="5" t="inlineStr"/>
    </row>
    <row r="25">
      <c r="A25" s="4" t="n">
        <v>20</v>
      </c>
      <c r="B25" s="4" t="n">
        <v>1</v>
      </c>
      <c r="C25" s="5" t="inlineStr">
        <is>
          <t>F1</t>
        </is>
      </c>
      <c r="D25" s="4" t="inlineStr">
        <is>
          <t>1.1A</t>
        </is>
      </c>
      <c r="E25" s="4" t="inlineStr">
        <is>
          <t>SMD</t>
        </is>
      </c>
      <c r="F25" s="4" t="inlineStr">
        <is>
          <t>Fuse:Fuse_1206_3216Metric</t>
        </is>
      </c>
      <c r="G25" s="4" t="inlineStr">
        <is>
          <t>Bourns</t>
        </is>
      </c>
      <c r="H25" s="4" t="inlineStr">
        <is>
          <t>MF-NSMF110-2</t>
        </is>
      </c>
      <c r="I25" s="4" t="inlineStr">
        <is>
          <t>652-MF-NSMF110-2</t>
        </is>
      </c>
      <c r="J25" s="7" t="n">
        <v>0.275</v>
      </c>
      <c r="K25" s="4" t="n">
        <v>11988</v>
      </c>
      <c r="L25" s="4" t="inlineStr">
        <is>
          <t>MF-NSMF110-2CT-ND</t>
        </is>
      </c>
      <c r="M25" s="6" t="n">
        <v>0.33</v>
      </c>
      <c r="N25" s="4" t="n">
        <v>41044</v>
      </c>
      <c r="O25" s="4" t="inlineStr">
        <is>
          <t>Aktiv</t>
        </is>
      </c>
      <c r="P25" s="4" t="inlineStr">
        <is>
          <t>Mouser</t>
        </is>
      </c>
      <c r="Q25" s="8">
        <f>IF(P25="DigiKey",IF(M25="","",M25),IF(P25="Mouser",IF(J25="","",J25),""))</f>
        <v/>
      </c>
      <c r="R25" s="8">
        <f>IF(OR(Q25="",B25=""),"",B25*Q25)</f>
        <v/>
      </c>
      <c r="S25" s="9" t="inlineStr">
        <is>
          <t>Mouser</t>
        </is>
      </c>
      <c r="T25" s="9" t="inlineStr">
        <is>
          <t>DigiKey</t>
        </is>
      </c>
      <c r="U25" s="9" t="inlineStr">
        <is>
          <t>PDF</t>
        </is>
      </c>
      <c r="V25" s="4" t="inlineStr">
        <is>
          <t>eindeutig</t>
        </is>
      </c>
      <c r="W25" s="5" t="inlineStr"/>
    </row>
    <row r="26">
      <c r="A26" s="4" t="n">
        <v>21</v>
      </c>
      <c r="B26" s="4" t="n">
        <v>1</v>
      </c>
      <c r="C26" s="5" t="inlineStr">
        <is>
          <t>FB1</t>
        </is>
      </c>
      <c r="D26" s="4" t="inlineStr">
        <is>
          <t>Ferrit 600R@100MHz</t>
        </is>
      </c>
      <c r="E26" s="4" t="inlineStr">
        <is>
          <t>SMD</t>
        </is>
      </c>
      <c r="F26" s="4" t="inlineStr">
        <is>
          <t>Inductor_SMD:L_0805_2012Metric</t>
        </is>
      </c>
      <c r="G26" s="4" t="inlineStr">
        <is>
          <t>Murata</t>
        </is>
      </c>
      <c r="H26" s="4" t="inlineStr">
        <is>
          <t>BLM21PG601SN1D</t>
        </is>
      </c>
      <c r="I26" s="4" t="inlineStr">
        <is>
          <t>81-BLM21PG601SN1D</t>
        </is>
      </c>
      <c r="J26" s="6" t="n">
        <v>0.103</v>
      </c>
      <c r="K26" s="10" t="n">
        <v>0</v>
      </c>
      <c r="L26" s="4" t="inlineStr">
        <is>
          <t>490-BLM21PG601SN1DCT-ND</t>
        </is>
      </c>
      <c r="M26" s="6" t="n">
        <v>0.1</v>
      </c>
      <c r="N26" s="4" t="n">
        <v>4446</v>
      </c>
      <c r="O26" s="4" t="inlineStr">
        <is>
          <t>Aktiv</t>
        </is>
      </c>
      <c r="P26" s="4" t="inlineStr">
        <is>
          <t>DigiKey</t>
        </is>
      </c>
      <c r="Q26" s="8">
        <f>IF(P26="DigiKey",IF(M26="","",M26),IF(P26="Mouser",IF(J26="","",J26),""))</f>
        <v/>
      </c>
      <c r="R26" s="8">
        <f>IF(OR(Q26="",B26=""),"",B26*Q26)</f>
        <v/>
      </c>
      <c r="S26" s="9" t="inlineStr">
        <is>
          <t>Mouser</t>
        </is>
      </c>
      <c r="T26" s="9" t="inlineStr">
        <is>
          <t>DigiKey</t>
        </is>
      </c>
      <c r="U26" s="9" t="inlineStr">
        <is>
          <t>PDF</t>
        </is>
      </c>
      <c r="V26" s="4" t="inlineStr">
        <is>
          <t>eindeutig</t>
        </is>
      </c>
      <c r="W26" s="5" t="inlineStr">
        <is>
          <t>Bei Mouser nicht ausreichend ab Lager (0) — nur über DigiKey.</t>
        </is>
      </c>
    </row>
    <row r="27">
      <c r="A27" s="4" t="n">
        <v>22</v>
      </c>
      <c r="B27" s="4" t="n">
        <v>2</v>
      </c>
      <c r="C27" s="5" t="inlineStr">
        <is>
          <t>J1, J_PWR1</t>
        </is>
      </c>
      <c r="D27" s="4" t="inlineStr">
        <is>
          <t>12401598E4-2A</t>
        </is>
      </c>
      <c r="E27" s="4" t="inlineStr">
        <is>
          <t>THT</t>
        </is>
      </c>
      <c r="F27" s="4" t="inlineStr">
        <is>
          <t>shbs_power:USB_C_Receptacle_Amphenol_12401598E4-2A</t>
        </is>
      </c>
      <c r="G27" s="4" t="inlineStr">
        <is>
          <t>Amphenol</t>
        </is>
      </c>
      <c r="H27" s="4" t="inlineStr">
        <is>
          <t>12401598E4#2A</t>
        </is>
      </c>
      <c r="I27" s="4" t="inlineStr">
        <is>
          <t>523-12401598E4#2A</t>
        </is>
      </c>
      <c r="J27" s="7" t="n">
        <v>1.62</v>
      </c>
      <c r="K27" s="4" t="n">
        <v>9245</v>
      </c>
      <c r="L27" s="4" t="inlineStr">
        <is>
          <t>12401598E4#2ACT-ND</t>
        </is>
      </c>
      <c r="M27" s="6" t="n">
        <v>1.64</v>
      </c>
      <c r="N27" s="4" t="n">
        <v>39568</v>
      </c>
      <c r="O27" s="4" t="inlineStr">
        <is>
          <t>Aktiv</t>
        </is>
      </c>
      <c r="P27" s="4" t="inlineStr">
        <is>
          <t>Mouser</t>
        </is>
      </c>
      <c r="Q27" s="8">
        <f>IF(P27="DigiKey",IF(M27="","",M27),IF(P27="Mouser",IF(J27="","",J27),""))</f>
        <v/>
      </c>
      <c r="R27" s="8">
        <f>IF(OR(Q27="",B27=""),"",B27*Q27)</f>
        <v/>
      </c>
      <c r="S27" s="9" t="inlineStr">
        <is>
          <t>Mouser</t>
        </is>
      </c>
      <c r="T27" s="9" t="inlineStr">
        <is>
          <t>DigiKey</t>
        </is>
      </c>
      <c r="U27" s="9" t="inlineStr">
        <is>
          <t>PDF</t>
        </is>
      </c>
      <c r="V27" s="4" t="inlineStr">
        <is>
          <t>eindeutig</t>
        </is>
      </c>
      <c r="W27" s="5" t="inlineStr"/>
    </row>
    <row r="28">
      <c r="A28" s="4" t="n">
        <v>23</v>
      </c>
      <c r="B28" s="4" t="n">
        <v>1</v>
      </c>
      <c r="C28" s="5" t="inlineStr">
        <is>
          <t>J6</t>
        </is>
      </c>
      <c r="D28" s="4" t="inlineStr">
        <is>
          <t>61200621621</t>
        </is>
      </c>
      <c r="E28" s="4" t="inlineStr">
        <is>
          <t>THT</t>
        </is>
      </c>
      <c r="F28" s="4" t="inlineStr">
        <is>
          <t>wuerth_6120XX21621:61200621621</t>
        </is>
      </c>
      <c r="G28" s="4" t="inlineStr">
        <is>
          <t>Würth Elektronik</t>
        </is>
      </c>
      <c r="H28" s="4" t="inlineStr">
        <is>
          <t>61200621621</t>
        </is>
      </c>
      <c r="I28" s="4" t="inlineStr">
        <is>
          <t>710-61200621621</t>
        </is>
      </c>
      <c r="J28" s="7" t="n">
        <v>0.404</v>
      </c>
      <c r="K28" s="4" t="n">
        <v>46778</v>
      </c>
      <c r="L28" s="4" t="inlineStr">
        <is>
          <t>732-5394-ND</t>
        </is>
      </c>
      <c r="M28" s="6" t="n">
        <v>0.43</v>
      </c>
      <c r="N28" s="4" t="n">
        <v>20950</v>
      </c>
      <c r="O28" s="4" t="inlineStr">
        <is>
          <t>Aktiv</t>
        </is>
      </c>
      <c r="P28" s="4" t="inlineStr">
        <is>
          <t>Mouser</t>
        </is>
      </c>
      <c r="Q28" s="8">
        <f>IF(P28="DigiKey",IF(M28="","",M28),IF(P28="Mouser",IF(J28="","",J28),""))</f>
        <v/>
      </c>
      <c r="R28" s="8">
        <f>IF(OR(Q28="",B28=""),"",B28*Q28)</f>
        <v/>
      </c>
      <c r="S28" s="9" t="inlineStr">
        <is>
          <t>Mouser</t>
        </is>
      </c>
      <c r="T28" s="9" t="inlineStr">
        <is>
          <t>DigiKey</t>
        </is>
      </c>
      <c r="U28" s="9" t="inlineStr">
        <is>
          <t>PDF</t>
        </is>
      </c>
      <c r="V28" s="4" t="inlineStr">
        <is>
          <t>eindeutig</t>
        </is>
      </c>
      <c r="W28" s="5" t="inlineStr"/>
    </row>
    <row r="29">
      <c r="A29" s="4" t="n">
        <v>24</v>
      </c>
      <c r="B29" s="4" t="n">
        <v>1</v>
      </c>
      <c r="C29" s="5" t="inlineStr">
        <is>
          <t>L1</t>
        </is>
      </c>
      <c r="D29" s="4" t="inlineStr">
        <is>
          <t>10uH</t>
        </is>
      </c>
      <c r="E29" s="4" t="inlineStr">
        <is>
          <t>SMD</t>
        </is>
      </c>
      <c r="F29" s="4" t="inlineStr">
        <is>
          <t>Inductor_SMD:L_Bourns_SRN6045TA</t>
        </is>
      </c>
      <c r="G29" s="4" t="inlineStr">
        <is>
          <t>Bourns</t>
        </is>
      </c>
      <c r="H29" s="4" t="inlineStr">
        <is>
          <t>SRN6045TA-100M</t>
        </is>
      </c>
      <c r="I29" s="4" t="inlineStr">
        <is>
          <t>652-SRN6045TA-100M</t>
        </is>
      </c>
      <c r="J29" s="6" t="n">
        <v>0.43</v>
      </c>
      <c r="K29" s="4" t="n">
        <v>4297</v>
      </c>
      <c r="L29" s="4" t="inlineStr">
        <is>
          <t>SRN6045TA-100MCT-ND</t>
        </is>
      </c>
      <c r="M29" s="6" t="n">
        <v>0.43</v>
      </c>
      <c r="N29" s="4" t="n">
        <v>4355</v>
      </c>
      <c r="O29" s="4" t="inlineStr">
        <is>
          <t>Aktiv</t>
        </is>
      </c>
      <c r="P29" s="4" t="inlineStr">
        <is>
          <t>DigiKey</t>
        </is>
      </c>
      <c r="Q29" s="8">
        <f>IF(P29="DigiKey",IF(M29="","",M29),IF(P29="Mouser",IF(J29="","",J29),""))</f>
        <v/>
      </c>
      <c r="R29" s="8">
        <f>IF(OR(Q29="",B29=""),"",B29*Q29)</f>
        <v/>
      </c>
      <c r="S29" s="9" t="inlineStr">
        <is>
          <t>Mouser</t>
        </is>
      </c>
      <c r="T29" s="9" t="inlineStr">
        <is>
          <t>DigiKey</t>
        </is>
      </c>
      <c r="U29" s="9" t="inlineStr">
        <is>
          <t>PDF</t>
        </is>
      </c>
      <c r="V29" s="4" t="inlineStr">
        <is>
          <t>eindeutig</t>
        </is>
      </c>
      <c r="W29" s="5" t="inlineStr"/>
    </row>
    <row r="30">
      <c r="A30" s="4" t="n">
        <v>25</v>
      </c>
      <c r="B30" s="4" t="n">
        <v>1</v>
      </c>
      <c r="C30" s="5" t="inlineStr">
        <is>
          <t>PS1</t>
        </is>
      </c>
      <c r="D30" s="4" t="inlineStr">
        <is>
          <t>AP3211</t>
        </is>
      </c>
      <c r="E30" s="4" t="inlineStr">
        <is>
          <t>SMD</t>
        </is>
      </c>
      <c r="F30" s="4" t="inlineStr">
        <is>
          <t>shbs_power:MP2359DJ</t>
        </is>
      </c>
      <c r="G30" s="4" t="inlineStr">
        <is>
          <t>Diodes Incorporated</t>
        </is>
      </c>
      <c r="H30" s="4" t="inlineStr">
        <is>
          <t>AP3211KTR-G1</t>
        </is>
      </c>
      <c r="I30" s="4" t="inlineStr">
        <is>
          <t>621-AP3211KTR-G1</t>
        </is>
      </c>
      <c r="J30" s="7" t="n">
        <v>0.464</v>
      </c>
      <c r="K30" s="4" t="n">
        <v>18260</v>
      </c>
      <c r="L30" s="4" t="inlineStr">
        <is>
          <t>AP3211KTR-G1DICT-ND</t>
        </is>
      </c>
      <c r="M30" s="6" t="n">
        <v>0.47</v>
      </c>
      <c r="N30" s="4" t="n">
        <v>32678</v>
      </c>
      <c r="O30" s="4" t="inlineStr">
        <is>
          <t>Aktiv</t>
        </is>
      </c>
      <c r="P30" s="4" t="inlineStr">
        <is>
          <t>Mouser</t>
        </is>
      </c>
      <c r="Q30" s="8">
        <f>IF(P30="DigiKey",IF(M30="","",M30),IF(P30="Mouser",IF(J30="","",J30),""))</f>
        <v/>
      </c>
      <c r="R30" s="8">
        <f>IF(OR(Q30="",B30=""),"",B30*Q30)</f>
        <v/>
      </c>
      <c r="S30" s="9" t="inlineStr">
        <is>
          <t>Mouser</t>
        </is>
      </c>
      <c r="T30" s="9" t="inlineStr">
        <is>
          <t>DigiKey</t>
        </is>
      </c>
      <c r="U30" s="9" t="inlineStr">
        <is>
          <t>PDF</t>
        </is>
      </c>
      <c r="V30" s="4" t="inlineStr">
        <is>
          <t>eindeutig</t>
        </is>
      </c>
      <c r="W30" s="5" t="inlineStr"/>
    </row>
    <row r="31">
      <c r="A31" s="4" t="n">
        <v>26</v>
      </c>
      <c r="B31" s="4" t="n">
        <v>4</v>
      </c>
      <c r="C31" s="5" t="inlineStr">
        <is>
          <t>Q1, Q2, Q3, Q4</t>
        </is>
      </c>
      <c r="D31" s="4" t="inlineStr">
        <is>
          <t>BC337</t>
        </is>
      </c>
      <c r="E31" s="4" t="inlineStr">
        <is>
          <t>THT</t>
        </is>
      </c>
      <c r="F31" s="4" t="inlineStr">
        <is>
          <t>Package_TO_SOT_THT:TO-92_Inline</t>
        </is>
      </c>
      <c r="G31" s="4" t="inlineStr">
        <is>
          <t>onsemi</t>
        </is>
      </c>
      <c r="H31" s="4" t="inlineStr">
        <is>
          <t>BC33740BU</t>
        </is>
      </c>
      <c r="I31" s="4" t="inlineStr">
        <is>
          <t>512-BC33740BU</t>
        </is>
      </c>
      <c r="J31" s="7" t="n">
        <v>0.249</v>
      </c>
      <c r="K31" s="4" t="n">
        <v>22995</v>
      </c>
      <c r="L31" s="4" t="inlineStr">
        <is>
          <t>BC33740BU-ND</t>
        </is>
      </c>
      <c r="M31" s="6" t="n">
        <v>0.25</v>
      </c>
      <c r="N31" s="4" t="n">
        <v>2763</v>
      </c>
      <c r="O31" s="4" t="inlineStr">
        <is>
          <t>Aktiv</t>
        </is>
      </c>
      <c r="P31" s="4" t="inlineStr">
        <is>
          <t>Mouser</t>
        </is>
      </c>
      <c r="Q31" s="8">
        <f>IF(P31="DigiKey",IF(M31="","",M31),IF(P31="Mouser",IF(J31="","",J31),""))</f>
        <v/>
      </c>
      <c r="R31" s="8">
        <f>IF(OR(Q31="",B31=""),"",B31*Q31)</f>
        <v/>
      </c>
      <c r="S31" s="9" t="inlineStr">
        <is>
          <t>Mouser</t>
        </is>
      </c>
      <c r="T31" s="9" t="inlineStr">
        <is>
          <t>DigiKey</t>
        </is>
      </c>
      <c r="U31" s="9" t="inlineStr">
        <is>
          <t>PDF</t>
        </is>
      </c>
      <c r="V31" s="4" t="inlineStr">
        <is>
          <t>eindeutig</t>
        </is>
      </c>
      <c r="W31" s="5" t="inlineStr"/>
    </row>
    <row r="32">
      <c r="A32" s="4" t="n">
        <v>27</v>
      </c>
      <c r="B32" s="4" t="n">
        <v>1</v>
      </c>
      <c r="C32" s="5" t="inlineStr">
        <is>
          <t>R9</t>
        </is>
      </c>
      <c r="D32" s="4" t="inlineStr">
        <is>
          <t>10k</t>
        </is>
      </c>
      <c r="E32" s="4" t="inlineStr">
        <is>
          <t>THT</t>
        </is>
      </c>
      <c r="F32" s="4" t="inlineStr">
        <is>
          <t>Resistor_THT:R_Axial_DIN0207_L6.3mm_D2.5mm_P10.16mm_Horizontal</t>
        </is>
      </c>
      <c r="G32" s="4" t="inlineStr">
        <is>
          <t>YAGEO</t>
        </is>
      </c>
      <c r="H32" s="4" t="inlineStr">
        <is>
          <t>MFR-25FBF52-10K</t>
        </is>
      </c>
      <c r="I32" s="4" t="inlineStr">
        <is>
          <t>603-MFR-25FBF52-10K</t>
        </is>
      </c>
      <c r="J32" s="7" t="n">
        <v>0.08599999999999999</v>
      </c>
      <c r="K32" s="4" t="n">
        <v>128848</v>
      </c>
      <c r="L32" s="4" t="inlineStr">
        <is>
          <t>10.0KXBK-ND</t>
        </is>
      </c>
      <c r="M32" s="6" t="n">
        <v>0.09</v>
      </c>
      <c r="N32" s="4" t="n">
        <v>89882</v>
      </c>
      <c r="O32" s="4" t="inlineStr">
        <is>
          <t>Aktiv</t>
        </is>
      </c>
      <c r="P32" s="4" t="inlineStr">
        <is>
          <t>Mouser</t>
        </is>
      </c>
      <c r="Q32" s="8">
        <f>IF(P32="DigiKey",IF(M32="","",M32),IF(P32="Mouser",IF(J32="","",J32),""))</f>
        <v/>
      </c>
      <c r="R32" s="8">
        <f>IF(OR(Q32="",B32=""),"",B32*Q32)</f>
        <v/>
      </c>
      <c r="S32" s="9" t="inlineStr">
        <is>
          <t>Mouser</t>
        </is>
      </c>
      <c r="T32" s="9" t="inlineStr">
        <is>
          <t>DigiKey</t>
        </is>
      </c>
      <c r="U32" s="9" t="inlineStr">
        <is>
          <t>PDF</t>
        </is>
      </c>
      <c r="V32" s="4" t="inlineStr">
        <is>
          <t>eindeutig</t>
        </is>
      </c>
      <c r="W32" s="5" t="inlineStr"/>
    </row>
    <row r="33">
      <c r="A33" s="4" t="n">
        <v>28</v>
      </c>
      <c r="B33" s="4" t="n">
        <v>4</v>
      </c>
      <c r="C33" s="5" t="inlineStr">
        <is>
          <t>R13, R14, R15, R16</t>
        </is>
      </c>
      <c r="D33" s="4" t="inlineStr">
        <is>
          <t>220</t>
        </is>
      </c>
      <c r="E33" s="4" t="inlineStr">
        <is>
          <t>THT</t>
        </is>
      </c>
      <c r="F33" s="4" t="inlineStr">
        <is>
          <t>Resistor_THT:R_Axial_DIN0617_L17.0mm_D6.0mm_P20.32mm_Horizontal</t>
        </is>
      </c>
      <c r="G33" s="4" t="inlineStr">
        <is>
          <t>Vishay BC Components</t>
        </is>
      </c>
      <c r="H33" s="4" t="inlineStr">
        <is>
          <t>PR02000202200JR500</t>
        </is>
      </c>
      <c r="I33" s="4" t="inlineStr">
        <is>
          <t>594-5083NW220R0J</t>
        </is>
      </c>
      <c r="J33" s="6" t="n">
        <v>0.353</v>
      </c>
      <c r="K33" s="4" t="n">
        <v>4936</v>
      </c>
      <c r="L33" s="4" t="inlineStr">
        <is>
          <t>56-PR02000202200JR500CT-ND</t>
        </is>
      </c>
      <c r="M33" s="7" t="n">
        <v>0.35</v>
      </c>
      <c r="N33" s="4" t="n">
        <v>7451</v>
      </c>
      <c r="O33" s="4" t="inlineStr">
        <is>
          <t>Aktiv</t>
        </is>
      </c>
      <c r="P33" s="4" t="inlineStr">
        <is>
          <t>DigiKey</t>
        </is>
      </c>
      <c r="Q33" s="8">
        <f>IF(P33="DigiKey",IF(M33="","",M33),IF(P33="Mouser",IF(J33="","",J33),""))</f>
        <v/>
      </c>
      <c r="R33" s="8">
        <f>IF(OR(Q33="",B33=""),"",B33*Q33)</f>
        <v/>
      </c>
      <c r="S33" s="9" t="inlineStr">
        <is>
          <t>Mouser</t>
        </is>
      </c>
      <c r="T33" s="9" t="inlineStr">
        <is>
          <t>DigiKey</t>
        </is>
      </c>
      <c r="U33" s="9" t="inlineStr">
        <is>
          <t>PDF</t>
        </is>
      </c>
      <c r="V33" s="4" t="inlineStr">
        <is>
          <t>eindeutig</t>
        </is>
      </c>
      <c r="W33" s="5" t="inlineStr"/>
    </row>
    <row r="34">
      <c r="A34" s="4" t="n">
        <v>29</v>
      </c>
      <c r="B34" s="4" t="n">
        <v>1</v>
      </c>
      <c r="C34" s="5" t="inlineStr">
        <is>
          <t>R17</t>
        </is>
      </c>
      <c r="D34" s="4" t="inlineStr">
        <is>
          <t>49,9 kΩ</t>
        </is>
      </c>
      <c r="E34" s="4" t="inlineStr">
        <is>
          <t>SMD</t>
        </is>
      </c>
      <c r="F34" s="4" t="inlineStr">
        <is>
          <t>Resistor_SMD:R_0805_2012Metric</t>
        </is>
      </c>
      <c r="G34" s="4" t="inlineStr">
        <is>
          <t>YAGEO</t>
        </is>
      </c>
      <c r="H34" s="4" t="inlineStr">
        <is>
          <t>RC0805FR-0749K9L</t>
        </is>
      </c>
      <c r="I34" s="4" t="inlineStr">
        <is>
          <t>603-RC0805FR-0749K9L</t>
        </is>
      </c>
      <c r="J34" s="7" t="n">
        <v>0.08599999999999999</v>
      </c>
      <c r="K34" s="4" t="n">
        <v>195715</v>
      </c>
      <c r="L34" s="4" t="inlineStr">
        <is>
          <t>311-49.9KCRCT-ND</t>
        </is>
      </c>
      <c r="M34" s="6" t="n">
        <v>0.09</v>
      </c>
      <c r="N34" s="4" t="n">
        <v>950283</v>
      </c>
      <c r="O34" s="4" t="inlineStr">
        <is>
          <t>Aktiv</t>
        </is>
      </c>
      <c r="P34" s="4" t="inlineStr">
        <is>
          <t>Mouser</t>
        </is>
      </c>
      <c r="Q34" s="8">
        <f>IF(P34="DigiKey",IF(M34="","",M34),IF(P34="Mouser",IF(J34="","",J34),""))</f>
        <v/>
      </c>
      <c r="R34" s="8">
        <f>IF(OR(Q34="",B34=""),"",B34*Q34)</f>
        <v/>
      </c>
      <c r="S34" s="9" t="inlineStr">
        <is>
          <t>Mouser</t>
        </is>
      </c>
      <c r="T34" s="9" t="inlineStr">
        <is>
          <t>DigiKey</t>
        </is>
      </c>
      <c r="U34" s="9" t="inlineStr">
        <is>
          <t>PDF</t>
        </is>
      </c>
      <c r="V34" s="4" t="inlineStr">
        <is>
          <t>eindeutig</t>
        </is>
      </c>
      <c r="W34" s="5" t="inlineStr"/>
    </row>
    <row r="35">
      <c r="A35" s="4" t="n">
        <v>30</v>
      </c>
      <c r="B35" s="4" t="n">
        <v>1</v>
      </c>
      <c r="C35" s="5" t="inlineStr">
        <is>
          <t>R18</t>
        </is>
      </c>
      <c r="D35" s="4" t="inlineStr">
        <is>
          <t>16,2 kΩ</t>
        </is>
      </c>
      <c r="E35" s="4" t="inlineStr">
        <is>
          <t>SMD</t>
        </is>
      </c>
      <c r="F35" s="4" t="inlineStr">
        <is>
          <t>Resistor_SMD:R_0805_2012Metric</t>
        </is>
      </c>
      <c r="G35" s="4" t="inlineStr">
        <is>
          <t>YAGEO</t>
        </is>
      </c>
      <c r="H35" s="4" t="inlineStr">
        <is>
          <t>RC0805FR-0716K2L</t>
        </is>
      </c>
      <c r="I35" s="4" t="inlineStr">
        <is>
          <t>603-RC0805FR-0716K2L</t>
        </is>
      </c>
      <c r="J35" s="7" t="n">
        <v>0.08599999999999999</v>
      </c>
      <c r="K35" s="4" t="n">
        <v>12535</v>
      </c>
      <c r="L35" s="4" t="inlineStr">
        <is>
          <t>311-16.2KCRCT-ND</t>
        </is>
      </c>
      <c r="M35" s="6" t="n">
        <v>0.09</v>
      </c>
      <c r="N35" s="4" t="n">
        <v>38373</v>
      </c>
      <c r="O35" s="4" t="inlineStr">
        <is>
          <t>Aktiv</t>
        </is>
      </c>
      <c r="P35" s="4" t="inlineStr">
        <is>
          <t>Mouser</t>
        </is>
      </c>
      <c r="Q35" s="8">
        <f>IF(P35="DigiKey",IF(M35="","",M35),IF(P35="Mouser",IF(J35="","",J35),""))</f>
        <v/>
      </c>
      <c r="R35" s="8">
        <f>IF(OR(Q35="",B35=""),"",B35*Q35)</f>
        <v/>
      </c>
      <c r="S35" s="9" t="inlineStr">
        <is>
          <t>Mouser</t>
        </is>
      </c>
      <c r="T35" s="9" t="inlineStr">
        <is>
          <t>DigiKey</t>
        </is>
      </c>
      <c r="U35" s="9" t="inlineStr">
        <is>
          <t>PDF</t>
        </is>
      </c>
      <c r="V35" s="4" t="inlineStr">
        <is>
          <t>eindeutig</t>
        </is>
      </c>
      <c r="W35" s="5" t="inlineStr"/>
    </row>
    <row r="36">
      <c r="A36" s="4" t="n">
        <v>31</v>
      </c>
      <c r="B36" s="4" t="n">
        <v>4</v>
      </c>
      <c r="C36" s="5" t="inlineStr">
        <is>
          <t>R19, R20, R21, R22</t>
        </is>
      </c>
      <c r="D36" s="4" t="inlineStr">
        <is>
          <t>5,1 kΩ</t>
        </is>
      </c>
      <c r="E36" s="4" t="inlineStr">
        <is>
          <t>SMD</t>
        </is>
      </c>
      <c r="F36" s="4" t="inlineStr">
        <is>
          <t>Resistor_SMD:R_0805_2012Metric</t>
        </is>
      </c>
      <c r="G36" s="4" t="inlineStr">
        <is>
          <t>YAGEO</t>
        </is>
      </c>
      <c r="H36" s="4" t="inlineStr">
        <is>
          <t>RC0805FR-075K1L</t>
        </is>
      </c>
      <c r="I36" s="4" t="inlineStr">
        <is>
          <t>603-RC0805FR-075K1L</t>
        </is>
      </c>
      <c r="J36" s="6" t="n">
        <v>0.103</v>
      </c>
      <c r="K36" s="4" t="n">
        <v>36518</v>
      </c>
      <c r="L36" s="4" t="inlineStr">
        <is>
          <t>311-5.10KCRCT-ND</t>
        </is>
      </c>
      <c r="M36" s="6" t="n">
        <v>0.09</v>
      </c>
      <c r="N36" s="10" t="n">
        <v>0</v>
      </c>
      <c r="O36" s="4" t="inlineStr">
        <is>
          <t>Aktiv</t>
        </is>
      </c>
      <c r="P36" s="4" t="inlineStr">
        <is>
          <t>Mouser</t>
        </is>
      </c>
      <c r="Q36" s="8">
        <f>IF(P36="DigiKey",IF(M36="","",M36),IF(P36="Mouser",IF(J36="","",J36),""))</f>
        <v/>
      </c>
      <c r="R36" s="8">
        <f>IF(OR(Q36="",B36=""),"",B36*Q36)</f>
        <v/>
      </c>
      <c r="S36" s="9" t="inlineStr">
        <is>
          <t>Mouser</t>
        </is>
      </c>
      <c r="T36" s="9" t="inlineStr">
        <is>
          <t>DigiKey</t>
        </is>
      </c>
      <c r="U36" s="9" t="inlineStr">
        <is>
          <t>PDF</t>
        </is>
      </c>
      <c r="V36" s="4" t="inlineStr">
        <is>
          <t>eindeutig</t>
        </is>
      </c>
      <c r="W36" s="5" t="inlineStr">
        <is>
          <t>Bei DigiKey nicht ausreichend ab Lager (0) — nur über Mouser.</t>
        </is>
      </c>
    </row>
    <row r="37">
      <c r="A37" s="4" t="n">
        <v>32</v>
      </c>
      <c r="B37" s="4" t="n">
        <v>4</v>
      </c>
      <c r="C37" s="5" t="inlineStr">
        <is>
          <t>R23, R24, R25, R26</t>
        </is>
      </c>
      <c r="D37" s="4" t="inlineStr">
        <is>
          <t>4,7k</t>
        </is>
      </c>
      <c r="E37" s="4" t="inlineStr">
        <is>
          <t>THT</t>
        </is>
      </c>
      <c r="F37" s="4" t="inlineStr">
        <is>
          <t>Resistor_THT:R_Axial_DIN0617_L17.0mm_D6.0mm_P20.32mm_Horizontal</t>
        </is>
      </c>
      <c r="G37" s="4" t="inlineStr">
        <is>
          <t>Vishay BC Components</t>
        </is>
      </c>
      <c r="H37" s="4" t="inlineStr">
        <is>
          <t>PR02000204701JR500</t>
        </is>
      </c>
      <c r="I37" s="4" t="inlineStr">
        <is>
          <t>594-5083NW4K700J</t>
        </is>
      </c>
      <c r="J37" s="6" t="n">
        <v>0.353</v>
      </c>
      <c r="K37" s="4" t="n">
        <v>2586</v>
      </c>
      <c r="L37" s="4" t="inlineStr">
        <is>
          <t>56-PR02000204701JR500CT-ND</t>
        </is>
      </c>
      <c r="M37" s="7" t="n">
        <v>0.35</v>
      </c>
      <c r="N37" s="4" t="n">
        <v>6005</v>
      </c>
      <c r="O37" s="4" t="inlineStr">
        <is>
          <t>Aktiv</t>
        </is>
      </c>
      <c r="P37" s="4" t="inlineStr">
        <is>
          <t>DigiKey</t>
        </is>
      </c>
      <c r="Q37" s="8">
        <f>IF(P37="DigiKey",IF(M37="","",M37),IF(P37="Mouser",IF(J37="","",J37),""))</f>
        <v/>
      </c>
      <c r="R37" s="8">
        <f>IF(OR(Q37="",B37=""),"",B37*Q37)</f>
        <v/>
      </c>
      <c r="S37" s="9" t="inlineStr">
        <is>
          <t>Mouser</t>
        </is>
      </c>
      <c r="T37" s="9" t="inlineStr">
        <is>
          <t>DigiKey</t>
        </is>
      </c>
      <c r="U37" s="9" t="inlineStr">
        <is>
          <t>PDF</t>
        </is>
      </c>
      <c r="V37" s="4" t="inlineStr">
        <is>
          <t>eindeutig</t>
        </is>
      </c>
      <c r="W37" s="5" t="inlineStr"/>
    </row>
    <row r="38">
      <c r="A38" s="4" t="n">
        <v>33</v>
      </c>
      <c r="B38" s="4" t="n">
        <v>1</v>
      </c>
      <c r="C38" s="5" t="inlineStr">
        <is>
          <t>R27</t>
        </is>
      </c>
      <c r="D38" s="4" t="inlineStr">
        <is>
          <t>12,4kΩ, 1%</t>
        </is>
      </c>
      <c r="E38" s="4" t="inlineStr">
        <is>
          <t>SMD</t>
        </is>
      </c>
      <c r="F38" s="4" t="inlineStr">
        <is>
          <t>Resistor_SMD:R_0805_2012Metric</t>
        </is>
      </c>
      <c r="G38" s="4" t="inlineStr">
        <is>
          <t>YAGEO</t>
        </is>
      </c>
      <c r="H38" s="4" t="inlineStr">
        <is>
          <t>RC0805FR-0712K4L</t>
        </is>
      </c>
      <c r="I38" s="4" t="inlineStr">
        <is>
          <t>603-RC0805FR-0712K4L</t>
        </is>
      </c>
      <c r="J38" s="7" t="n">
        <v>0.08599999999999999</v>
      </c>
      <c r="K38" s="4" t="n">
        <v>9810</v>
      </c>
      <c r="L38" s="4" t="inlineStr">
        <is>
          <t>311-12.4KCRCT-ND</t>
        </is>
      </c>
      <c r="M38" s="6" t="n">
        <v>0.09</v>
      </c>
      <c r="N38" s="4" t="n">
        <v>13307</v>
      </c>
      <c r="O38" s="4" t="inlineStr">
        <is>
          <t>Aktiv</t>
        </is>
      </c>
      <c r="P38" s="4" t="inlineStr">
        <is>
          <t>Mouser</t>
        </is>
      </c>
      <c r="Q38" s="8">
        <f>IF(P38="DigiKey",IF(M38="","",M38),IF(P38="Mouser",IF(J38="","",J38),""))</f>
        <v/>
      </c>
      <c r="R38" s="8">
        <f>IF(OR(Q38="",B38=""),"",B38*Q38)</f>
        <v/>
      </c>
      <c r="S38" s="9" t="inlineStr">
        <is>
          <t>Mouser</t>
        </is>
      </c>
      <c r="T38" s="9" t="inlineStr">
        <is>
          <t>DigiKey</t>
        </is>
      </c>
      <c r="U38" s="9" t="inlineStr">
        <is>
          <t>PDF</t>
        </is>
      </c>
      <c r="V38" s="4" t="inlineStr">
        <is>
          <t>eindeutig</t>
        </is>
      </c>
      <c r="W38" s="5" t="inlineStr"/>
    </row>
    <row r="39">
      <c r="A39" s="4" t="n">
        <v>34</v>
      </c>
      <c r="B39" s="4" t="n">
        <v>5</v>
      </c>
      <c r="C39" s="5" t="inlineStr">
        <is>
          <t>R28, R29, R30, R31, R32</t>
        </is>
      </c>
      <c r="D39" s="4" t="inlineStr">
        <is>
          <t>10kΩ</t>
        </is>
      </c>
      <c r="E39" s="4" t="inlineStr">
        <is>
          <t>SMD</t>
        </is>
      </c>
      <c r="F39" s="4" t="inlineStr">
        <is>
          <t>Resistor_SMD:R_0805_2012Metric</t>
        </is>
      </c>
      <c r="G39" s="4" t="inlineStr">
        <is>
          <t>YAGEO</t>
        </is>
      </c>
      <c r="H39" s="4" t="inlineStr">
        <is>
          <t>RC0805FR-0710KL</t>
        </is>
      </c>
      <c r="I39" s="4" t="inlineStr">
        <is>
          <t>603-RC0805FR-0710KL</t>
        </is>
      </c>
      <c r="J39" s="7" t="n">
        <v>0.08599999999999999</v>
      </c>
      <c r="K39" s="4" t="n">
        <v>3453672</v>
      </c>
      <c r="L39" s="4" t="inlineStr">
        <is>
          <t>311-10.0KCRCT-ND</t>
        </is>
      </c>
      <c r="M39" s="6" t="n">
        <v>0.09</v>
      </c>
      <c r="N39" s="4" t="n">
        <v>1935589</v>
      </c>
      <c r="O39" s="4" t="inlineStr">
        <is>
          <t>Aktiv</t>
        </is>
      </c>
      <c r="P39" s="4" t="inlineStr">
        <is>
          <t>Mouser</t>
        </is>
      </c>
      <c r="Q39" s="8">
        <f>IF(P39="DigiKey",IF(M39="","",M39),IF(P39="Mouser",IF(J39="","",J39),""))</f>
        <v/>
      </c>
      <c r="R39" s="8">
        <f>IF(OR(Q39="",B39=""),"",B39*Q39)</f>
        <v/>
      </c>
      <c r="S39" s="9" t="inlineStr">
        <is>
          <t>Mouser</t>
        </is>
      </c>
      <c r="T39" s="9" t="inlineStr">
        <is>
          <t>DigiKey</t>
        </is>
      </c>
      <c r="U39" s="9" t="inlineStr">
        <is>
          <t>PDF</t>
        </is>
      </c>
      <c r="V39" s="4" t="inlineStr">
        <is>
          <t>eindeutig</t>
        </is>
      </c>
      <c r="W39" s="5" t="inlineStr"/>
    </row>
    <row r="40">
      <c r="A40" s="4" t="n">
        <v>35</v>
      </c>
      <c r="B40" s="4" t="n">
        <v>2</v>
      </c>
      <c r="C40" s="5" t="inlineStr">
        <is>
          <t>R33, R34</t>
        </is>
      </c>
      <c r="D40" s="4" t="inlineStr">
        <is>
          <t>220Ω</t>
        </is>
      </c>
      <c r="E40" s="4" t="inlineStr">
        <is>
          <t>SMD</t>
        </is>
      </c>
      <c r="F40" s="4" t="inlineStr">
        <is>
          <t>Resistor_SMD:R_0805_2012Metric</t>
        </is>
      </c>
      <c r="G40" s="4" t="inlineStr">
        <is>
          <t>YAGEO</t>
        </is>
      </c>
      <c r="H40" s="4" t="inlineStr">
        <is>
          <t>RC0805FR-07220RL</t>
        </is>
      </c>
      <c r="I40" s="4" t="inlineStr">
        <is>
          <t>603-RC0805FR-07220RL</t>
        </is>
      </c>
      <c r="J40" s="7" t="n">
        <v>0.08599999999999999</v>
      </c>
      <c r="K40" s="4" t="n">
        <v>218894</v>
      </c>
      <c r="L40" s="4" t="inlineStr">
        <is>
          <t>311-220CRCT-ND</t>
        </is>
      </c>
      <c r="M40" s="6" t="n">
        <v>0.09</v>
      </c>
      <c r="N40" s="4" t="n">
        <v>380504</v>
      </c>
      <c r="O40" s="4" t="inlineStr">
        <is>
          <t>Aktiv</t>
        </is>
      </c>
      <c r="P40" s="4" t="inlineStr">
        <is>
          <t>Mouser</t>
        </is>
      </c>
      <c r="Q40" s="8">
        <f>IF(P40="DigiKey",IF(M40="","",M40),IF(P40="Mouser",IF(J40="","",J40),""))</f>
        <v/>
      </c>
      <c r="R40" s="8">
        <f>IF(OR(Q40="",B40=""),"",B40*Q40)</f>
        <v/>
      </c>
      <c r="S40" s="9" t="inlineStr">
        <is>
          <t>Mouser</t>
        </is>
      </c>
      <c r="T40" s="9" t="inlineStr">
        <is>
          <t>DigiKey</t>
        </is>
      </c>
      <c r="U40" s="9" t="inlineStr">
        <is>
          <t>PDF</t>
        </is>
      </c>
      <c r="V40" s="4" t="inlineStr">
        <is>
          <t>eindeutig</t>
        </is>
      </c>
      <c r="W40" s="5" t="inlineStr"/>
    </row>
    <row r="41">
      <c r="A41" s="4" t="n">
        <v>36</v>
      </c>
      <c r="B41" s="4" t="n">
        <v>1</v>
      </c>
      <c r="C41" s="5" t="inlineStr">
        <is>
          <t>R35</t>
        </is>
      </c>
      <c r="D41" s="4" t="inlineStr">
        <is>
          <t>0Ω</t>
        </is>
      </c>
      <c r="E41" s="4" t="inlineStr">
        <is>
          <t>SMD</t>
        </is>
      </c>
      <c r="F41" s="4" t="inlineStr">
        <is>
          <t>Resistor_SMD:R_0805_2012Metric</t>
        </is>
      </c>
      <c r="G41" s="4" t="inlineStr">
        <is>
          <t>YAGEO</t>
        </is>
      </c>
      <c r="H41" s="4" t="inlineStr">
        <is>
          <t>RC0805JR-070RL</t>
        </is>
      </c>
      <c r="I41" s="4" t="inlineStr">
        <is>
          <t>603-RC0805JR-070RL</t>
        </is>
      </c>
      <c r="J41" s="6" t="n">
        <v>0.215</v>
      </c>
      <c r="K41" s="4" t="n">
        <v>2669469</v>
      </c>
      <c r="L41" s="4" t="inlineStr">
        <is>
          <t>311-0.0ARCT-ND</t>
        </is>
      </c>
      <c r="M41" s="7" t="n">
        <v>0.09</v>
      </c>
      <c r="N41" s="4" t="n">
        <v>2861448</v>
      </c>
      <c r="O41" s="4" t="inlineStr">
        <is>
          <t>Aktiv</t>
        </is>
      </c>
      <c r="P41" s="4" t="inlineStr">
        <is>
          <t>DigiKey</t>
        </is>
      </c>
      <c r="Q41" s="8">
        <f>IF(P41="DigiKey",IF(M41="","",M41),IF(P41="Mouser",IF(J41="","",J41),""))</f>
        <v/>
      </c>
      <c r="R41" s="8">
        <f>IF(OR(Q41="",B41=""),"",B41*Q41)</f>
        <v/>
      </c>
      <c r="S41" s="9" t="inlineStr">
        <is>
          <t>Mouser</t>
        </is>
      </c>
      <c r="T41" s="9" t="inlineStr">
        <is>
          <t>DigiKey</t>
        </is>
      </c>
      <c r="U41" s="9" t="inlineStr">
        <is>
          <t>PDF</t>
        </is>
      </c>
      <c r="V41" s="4" t="inlineStr">
        <is>
          <t>eindeutig</t>
        </is>
      </c>
      <c r="W41" s="5" t="inlineStr"/>
    </row>
    <row r="42">
      <c r="A42" s="4" t="n">
        <v>37</v>
      </c>
      <c r="B42" s="4" t="n">
        <v>4</v>
      </c>
      <c r="C42" s="5" t="inlineStr">
        <is>
          <t>R36, R37, R39, R40</t>
        </is>
      </c>
      <c r="D42" s="4" t="inlineStr">
        <is>
          <t>49,9Ω 1%</t>
        </is>
      </c>
      <c r="E42" s="4" t="inlineStr">
        <is>
          <t>SMD</t>
        </is>
      </c>
      <c r="F42" s="4" t="inlineStr">
        <is>
          <t>Resistor_SMD:R_0805_2012Metric</t>
        </is>
      </c>
      <c r="G42" s="4" t="inlineStr">
        <is>
          <t>YAGEO</t>
        </is>
      </c>
      <c r="H42" s="4" t="inlineStr">
        <is>
          <t>RC0805FR-0749R9L</t>
        </is>
      </c>
      <c r="I42" s="4" t="inlineStr">
        <is>
          <t>603-RC0805FR-0749R9L</t>
        </is>
      </c>
      <c r="J42" s="7" t="n">
        <v>0.08599999999999999</v>
      </c>
      <c r="K42" s="4" t="n">
        <v>308094</v>
      </c>
      <c r="L42" s="4" t="inlineStr">
        <is>
          <t>311-49.9CRCT-ND</t>
        </is>
      </c>
      <c r="M42" s="6" t="n">
        <v>0.09</v>
      </c>
      <c r="N42" s="4" t="n">
        <v>376340</v>
      </c>
      <c r="O42" s="4" t="inlineStr">
        <is>
          <t>Aktiv</t>
        </is>
      </c>
      <c r="P42" s="4" t="inlineStr">
        <is>
          <t>Mouser</t>
        </is>
      </c>
      <c r="Q42" s="8">
        <f>IF(P42="DigiKey",IF(M42="","",M42),IF(P42="Mouser",IF(J42="","",J42),""))</f>
        <v/>
      </c>
      <c r="R42" s="8">
        <f>IF(OR(Q42="",B42=""),"",B42*Q42)</f>
        <v/>
      </c>
      <c r="S42" s="9" t="inlineStr">
        <is>
          <t>Mouser</t>
        </is>
      </c>
      <c r="T42" s="9" t="inlineStr">
        <is>
          <t>DigiKey</t>
        </is>
      </c>
      <c r="U42" s="9" t="inlineStr">
        <is>
          <t>PDF</t>
        </is>
      </c>
      <c r="V42" s="4" t="inlineStr">
        <is>
          <t>eindeutig</t>
        </is>
      </c>
      <c r="W42" s="5" t="inlineStr"/>
    </row>
    <row r="43">
      <c r="A43" s="4" t="n">
        <v>38</v>
      </c>
      <c r="B43" s="4" t="n">
        <v>1</v>
      </c>
      <c r="C43" s="5" t="inlineStr">
        <is>
          <t>R38</t>
        </is>
      </c>
      <c r="D43" s="4" t="inlineStr">
        <is>
          <t>10Ω 1%</t>
        </is>
      </c>
      <c r="E43" s="4" t="inlineStr">
        <is>
          <t>SMD</t>
        </is>
      </c>
      <c r="F43" s="4" t="inlineStr">
        <is>
          <t>Resistor_SMD:R_0805_2012Metric</t>
        </is>
      </c>
      <c r="G43" s="4" t="inlineStr">
        <is>
          <t>YAGEO</t>
        </is>
      </c>
      <c r="H43" s="4" t="inlineStr">
        <is>
          <t>RC0805FR-0710RL</t>
        </is>
      </c>
      <c r="I43" s="4" t="inlineStr">
        <is>
          <t>603-RC0805FR-0710RL</t>
        </is>
      </c>
      <c r="J43" s="7" t="n">
        <v>0.08599999999999999</v>
      </c>
      <c r="K43" s="4" t="n">
        <v>119285</v>
      </c>
      <c r="L43" s="4" t="inlineStr">
        <is>
          <t>311-10.0CRCT-ND</t>
        </is>
      </c>
      <c r="M43" s="6" t="n">
        <v>0.1</v>
      </c>
      <c r="N43" s="4" t="n">
        <v>601024</v>
      </c>
      <c r="O43" s="4" t="inlineStr">
        <is>
          <t>Aktiv</t>
        </is>
      </c>
      <c r="P43" s="4" t="inlineStr">
        <is>
          <t>Mouser</t>
        </is>
      </c>
      <c r="Q43" s="8">
        <f>IF(P43="DigiKey",IF(M43="","",M43),IF(P43="Mouser",IF(J43="","",J43),""))</f>
        <v/>
      </c>
      <c r="R43" s="8">
        <f>IF(OR(Q43="",B43=""),"",B43*Q43)</f>
        <v/>
      </c>
      <c r="S43" s="9" t="inlineStr">
        <is>
          <t>Mouser</t>
        </is>
      </c>
      <c r="T43" s="9" t="inlineStr">
        <is>
          <t>DigiKey</t>
        </is>
      </c>
      <c r="U43" s="9" t="inlineStr">
        <is>
          <t>PDF</t>
        </is>
      </c>
      <c r="V43" s="4" t="inlineStr">
        <is>
          <t>eindeutig</t>
        </is>
      </c>
      <c r="W43" s="5" t="inlineStr"/>
    </row>
    <row r="44">
      <c r="A44" s="4" t="n">
        <v>39</v>
      </c>
      <c r="B44" s="4" t="n">
        <v>1</v>
      </c>
      <c r="C44" s="5" t="inlineStr">
        <is>
          <t>S2</t>
        </is>
      </c>
      <c r="D44" s="4" t="inlineStr">
        <is>
          <t>PTS645VL58-2 LFS</t>
        </is>
      </c>
      <c r="E44" s="4" t="inlineStr">
        <is>
          <t>THT</t>
        </is>
      </c>
      <c r="F44" s="4" t="inlineStr">
        <is>
          <t>PTS645VL58-2LFS:SW_Tactile_SPST_Angled_PTS645Vx58-2LFS</t>
        </is>
      </c>
      <c r="G44" s="4" t="inlineStr">
        <is>
          <t>C&amp;K</t>
        </is>
      </c>
      <c r="H44" s="4" t="inlineStr">
        <is>
          <t>PTS645VL58-2 LFS</t>
        </is>
      </c>
      <c r="I44" s="4" t="inlineStr">
        <is>
          <t>611-PTS645VL582</t>
        </is>
      </c>
      <c r="J44" s="7" t="n">
        <v>0.284</v>
      </c>
      <c r="K44" s="4" t="n">
        <v>290</v>
      </c>
      <c r="L44" s="4" t="inlineStr">
        <is>
          <t>CKN9116-ND</t>
        </is>
      </c>
      <c r="M44" s="6" t="n">
        <v>0.36</v>
      </c>
      <c r="N44" s="4" t="n">
        <v>19085</v>
      </c>
      <c r="O44" s="4" t="inlineStr">
        <is>
          <t>Aktiv</t>
        </is>
      </c>
      <c r="P44" s="4" t="inlineStr">
        <is>
          <t>Mouser</t>
        </is>
      </c>
      <c r="Q44" s="8">
        <f>IF(P44="DigiKey",IF(M44="","",M44),IF(P44="Mouser",IF(J44="","",J44),""))</f>
        <v/>
      </c>
      <c r="R44" s="8">
        <f>IF(OR(Q44="",B44=""),"",B44*Q44)</f>
        <v/>
      </c>
      <c r="S44" s="9" t="inlineStr">
        <is>
          <t>Mouser</t>
        </is>
      </c>
      <c r="T44" s="9" t="inlineStr">
        <is>
          <t>DigiKey</t>
        </is>
      </c>
      <c r="U44" s="9" t="inlineStr">
        <is>
          <t>PDF</t>
        </is>
      </c>
      <c r="V44" s="4" t="inlineStr">
        <is>
          <t>eindeutig</t>
        </is>
      </c>
      <c r="W44" s="5" t="inlineStr"/>
    </row>
    <row r="45">
      <c r="A45" s="4" t="n">
        <v>40</v>
      </c>
      <c r="B45" s="4" t="n">
        <v>1</v>
      </c>
      <c r="C45" s="5" t="inlineStr">
        <is>
          <t>T1</t>
        </is>
      </c>
      <c r="D45" s="4" t="inlineStr">
        <is>
          <t>7499011121A</t>
        </is>
      </c>
      <c r="E45" s="4" t="inlineStr">
        <is>
          <t>THT</t>
        </is>
      </c>
      <c r="F45" s="4" t="inlineStr">
        <is>
          <t>wuerth_rj45:T_Wurth_WE-RJ45LAN_7499011121A</t>
        </is>
      </c>
      <c r="G45" s="4" t="inlineStr">
        <is>
          <t>Wurth Elektronik</t>
        </is>
      </c>
      <c r="H45" s="4" t="inlineStr">
        <is>
          <t>7499011121A</t>
        </is>
      </c>
      <c r="I45" s="4" t="inlineStr">
        <is>
          <t>710-7499011121A</t>
        </is>
      </c>
      <c r="J45" s="6" t="n">
        <v>6.26</v>
      </c>
      <c r="K45" s="4" t="n">
        <v>1259</v>
      </c>
      <c r="L45" s="4" t="inlineStr">
        <is>
          <t>732-4509-5-ND</t>
        </is>
      </c>
      <c r="M45" s="7" t="n">
        <v>5.92</v>
      </c>
      <c r="N45" s="4" t="n">
        <v>2673</v>
      </c>
      <c r="O45" s="4" t="inlineStr">
        <is>
          <t>Aktiv</t>
        </is>
      </c>
      <c r="P45" s="4" t="inlineStr">
        <is>
          <t>DigiKey</t>
        </is>
      </c>
      <c r="Q45" s="8">
        <f>IF(P45="DigiKey",IF(M45="","",M45),IF(P45="Mouser",IF(J45="","",J45),""))</f>
        <v/>
      </c>
      <c r="R45" s="8">
        <f>IF(OR(Q45="",B45=""),"",B45*Q45)</f>
        <v/>
      </c>
      <c r="S45" s="9" t="inlineStr">
        <is>
          <t>Mouser</t>
        </is>
      </c>
      <c r="T45" s="9" t="inlineStr">
        <is>
          <t>DigiKey</t>
        </is>
      </c>
      <c r="U45" s="9" t="inlineStr">
        <is>
          <t>PDF</t>
        </is>
      </c>
      <c r="V45" s="4" t="inlineStr">
        <is>
          <t>eindeutig</t>
        </is>
      </c>
      <c r="W45" s="5" t="inlineStr"/>
    </row>
    <row r="46">
      <c r="A46" s="4" t="n">
        <v>41</v>
      </c>
      <c r="B46" s="4" t="n">
        <v>1</v>
      </c>
      <c r="C46" s="5" t="inlineStr">
        <is>
          <t>U1</t>
        </is>
      </c>
      <c r="D46" s="4" t="inlineStr">
        <is>
          <t>D3V3XA4B10LP</t>
        </is>
      </c>
      <c r="E46" s="4" t="inlineStr">
        <is>
          <t>SMD</t>
        </is>
      </c>
      <c r="F46" s="4" t="inlineStr">
        <is>
          <t>Package_DFN_QFN:Diodes_UDFN-10_1x2.5mm_P0.5mm</t>
        </is>
      </c>
      <c r="G46" s="4" t="inlineStr">
        <is>
          <t>Diodes Incorporated</t>
        </is>
      </c>
      <c r="H46" s="4" t="inlineStr">
        <is>
          <t>D3V3XA4B10LP-7</t>
        </is>
      </c>
      <c r="I46" s="4" t="inlineStr">
        <is>
          <t>621-D3V3XA4B10LP-7</t>
        </is>
      </c>
      <c r="J46" s="7" t="n">
        <v>0.37</v>
      </c>
      <c r="K46" s="4" t="n">
        <v>11929</v>
      </c>
      <c r="L46" s="4" t="inlineStr">
        <is>
          <t>31-D3V3XA4B10LP-7CT-ND</t>
        </is>
      </c>
      <c r="M46" s="6" t="n">
        <v>0.39</v>
      </c>
      <c r="N46" s="4" t="n">
        <v>11467</v>
      </c>
      <c r="O46" s="4" t="inlineStr">
        <is>
          <t>Aktiv</t>
        </is>
      </c>
      <c r="P46" s="4" t="inlineStr">
        <is>
          <t>Mouser</t>
        </is>
      </c>
      <c r="Q46" s="8">
        <f>IF(P46="DigiKey",IF(M46="","",M46),IF(P46="Mouser",IF(J46="","",J46),""))</f>
        <v/>
      </c>
      <c r="R46" s="8">
        <f>IF(OR(Q46="",B46=""),"",B46*Q46)</f>
        <v/>
      </c>
      <c r="S46" s="9" t="inlineStr">
        <is>
          <t>Mouser</t>
        </is>
      </c>
      <c r="T46" s="9" t="inlineStr">
        <is>
          <t>DigiKey</t>
        </is>
      </c>
      <c r="U46" s="9" t="inlineStr">
        <is>
          <t>PDF</t>
        </is>
      </c>
      <c r="V46" s="4" t="inlineStr">
        <is>
          <t>eindeutig</t>
        </is>
      </c>
      <c r="W46" s="5" t="inlineStr"/>
    </row>
    <row r="47">
      <c r="A47" s="4" t="n">
        <v>42</v>
      </c>
      <c r="B47" s="4" t="n">
        <v>1</v>
      </c>
      <c r="C47" s="5" t="inlineStr">
        <is>
          <t>U6</t>
        </is>
      </c>
      <c r="D47" s="4" t="inlineStr">
        <is>
          <t>ESP32-S3-WROOM-1U-N16R8</t>
        </is>
      </c>
      <c r="E47" s="4" t="inlineStr">
        <is>
          <t>SMD</t>
        </is>
      </c>
      <c r="F47" s="4" t="inlineStr">
        <is>
          <t>ESP32-S3-WROOM-1U-N16R8:ESP32-S3-WROOM-1U</t>
        </is>
      </c>
      <c r="G47" s="4" t="inlineStr">
        <is>
          <t>Espressif Systems</t>
        </is>
      </c>
      <c r="H47" s="4" t="inlineStr">
        <is>
          <t>ESP32-S3-WROOM-1U-N16R8</t>
        </is>
      </c>
      <c r="I47" s="4" t="inlineStr">
        <is>
          <t>356-ESP32S3WM1UN16R8</t>
        </is>
      </c>
      <c r="J47" s="6" t="n">
        <v>5.93</v>
      </c>
      <c r="K47" s="4" t="n">
        <v>6109</v>
      </c>
      <c r="L47" s="4" t="inlineStr">
        <is>
          <t>1965-ESP32-S3-WROOM-1U-N16R8CT-ND</t>
        </is>
      </c>
      <c r="M47" s="7" t="n">
        <v>5.79</v>
      </c>
      <c r="N47" s="4" t="n">
        <v>66</v>
      </c>
      <c r="O47" s="4" t="inlineStr">
        <is>
          <t>Aktiv</t>
        </is>
      </c>
      <c r="P47" s="4" t="inlineStr">
        <is>
          <t>Mouser</t>
        </is>
      </c>
      <c r="Q47" s="8">
        <f>IF(P47="DigiKey",IF(M47="","",M47),IF(P47="Mouser",IF(J47="","",J47),""))</f>
        <v/>
      </c>
      <c r="R47" s="8">
        <f>IF(OR(Q47="",B47=""),"",B47*Q47)</f>
        <v/>
      </c>
      <c r="S47" s="9" t="inlineStr">
        <is>
          <t>Mouser</t>
        </is>
      </c>
      <c r="T47" s="9" t="inlineStr">
        <is>
          <t>DigiKey</t>
        </is>
      </c>
      <c r="U47" s="9" t="inlineStr">
        <is>
          <t>PDF</t>
        </is>
      </c>
      <c r="V47" s="4" t="inlineStr">
        <is>
          <t>eindeutig</t>
        </is>
      </c>
      <c r="W47" s="5" t="inlineStr">
        <is>
          <t>Bezugsquelle Mouser festgelegt (Bediener, 2026-09-24): DigiKey hat nur zweistelligen Lagerbestand, Mouser mehrere Tausend — sicherer fuer groessere Stueckzahlen, Aufpreis rund 0,14 EUR.</t>
        </is>
      </c>
    </row>
    <row r="48">
      <c r="A48" s="4" t="n">
        <v>43</v>
      </c>
      <c r="B48" s="4" t="n">
        <v>1</v>
      </c>
      <c r="C48" s="5" t="inlineStr">
        <is>
          <t>U7</t>
        </is>
      </c>
      <c r="D48" s="4" t="inlineStr">
        <is>
          <t>W5500</t>
        </is>
      </c>
      <c r="E48" s="4" t="inlineStr">
        <is>
          <t>SMD</t>
        </is>
      </c>
      <c r="F48" s="4" t="inlineStr">
        <is>
          <t>W5500:48LQFP_W5500_WIZ</t>
        </is>
      </c>
      <c r="G48" s="4" t="inlineStr">
        <is>
          <t>WIZnet</t>
        </is>
      </c>
      <c r="H48" s="4" t="inlineStr">
        <is>
          <t>W5500</t>
        </is>
      </c>
      <c r="I48" s="4" t="inlineStr">
        <is>
          <t>950-W5500</t>
        </is>
      </c>
      <c r="J48" s="7" t="n">
        <v>2.98</v>
      </c>
      <c r="K48" s="4" t="n">
        <v>43173</v>
      </c>
      <c r="L48" s="4" t="inlineStr">
        <is>
          <t>1278-W5500CT-ND</t>
        </is>
      </c>
      <c r="M48" s="6" t="n">
        <v>3.18</v>
      </c>
      <c r="N48" s="4" t="n">
        <v>62550</v>
      </c>
      <c r="O48" s="4" t="inlineStr">
        <is>
          <t>Aktiv</t>
        </is>
      </c>
      <c r="P48" s="4" t="inlineStr">
        <is>
          <t>Mouser</t>
        </is>
      </c>
      <c r="Q48" s="8">
        <f>IF(P48="DigiKey",IF(M48="","",M48),IF(P48="Mouser",IF(J48="","",J48),""))</f>
        <v/>
      </c>
      <c r="R48" s="8">
        <f>IF(OR(Q48="",B48=""),"",B48*Q48)</f>
        <v/>
      </c>
      <c r="S48" s="9" t="inlineStr">
        <is>
          <t>Mouser</t>
        </is>
      </c>
      <c r="T48" s="9" t="inlineStr">
        <is>
          <t>DigiKey</t>
        </is>
      </c>
      <c r="U48" s="9" t="inlineStr">
        <is>
          <t>PDF</t>
        </is>
      </c>
      <c r="V48" s="4" t="inlineStr">
        <is>
          <t>eindeutig</t>
        </is>
      </c>
      <c r="W48" s="5" t="inlineStr"/>
    </row>
    <row r="49">
      <c r="A49" s="4" t="n">
        <v>44</v>
      </c>
      <c r="B49" s="4" t="n">
        <v>1</v>
      </c>
      <c r="C49" s="5" t="inlineStr">
        <is>
          <t>Y1</t>
        </is>
      </c>
      <c r="D49" s="4" t="inlineStr">
        <is>
          <t>25 MHz</t>
        </is>
      </c>
      <c r="E49" s="4" t="inlineStr">
        <is>
          <t>SMD</t>
        </is>
      </c>
      <c r="F49" s="4" t="inlineStr">
        <is>
          <t>wuerth_830059532:Y_Wurth_WE-XTAL_Quartz-CFPX-104</t>
        </is>
      </c>
      <c r="G49" s="4" t="inlineStr">
        <is>
          <t>Wurth Elektronik</t>
        </is>
      </c>
      <c r="H49" s="4" t="inlineStr">
        <is>
          <t>830059532</t>
        </is>
      </c>
      <c r="I49" s="4" t="inlineStr">
        <is>
          <t>710-830059532</t>
        </is>
      </c>
      <c r="J49" s="6" t="n">
        <v>0.757</v>
      </c>
      <c r="K49" s="4" t="n">
        <v>3563</v>
      </c>
      <c r="L49" s="4" t="inlineStr">
        <is>
          <t>1923-830059532CT-ND</t>
        </is>
      </c>
      <c r="M49" s="7" t="n">
        <v>0.75</v>
      </c>
      <c r="N49" s="4" t="n">
        <v>3667</v>
      </c>
      <c r="O49" s="4" t="inlineStr">
        <is>
          <t>Aktiv</t>
        </is>
      </c>
      <c r="P49" s="4" t="inlineStr">
        <is>
          <t>DigiKey</t>
        </is>
      </c>
      <c r="Q49" s="8">
        <f>IF(P49="DigiKey",IF(M49="","",M49),IF(P49="Mouser",IF(J49="","",J49),""))</f>
        <v/>
      </c>
      <c r="R49" s="8">
        <f>IF(OR(Q49="",B49=""),"",B49*Q49)</f>
        <v/>
      </c>
      <c r="S49" s="9" t="inlineStr">
        <is>
          <t>Mouser</t>
        </is>
      </c>
      <c r="T49" s="9" t="inlineStr">
        <is>
          <t>DigiKey</t>
        </is>
      </c>
      <c r="U49" s="9" t="inlineStr">
        <is>
          <t>PDF</t>
        </is>
      </c>
      <c r="V49" s="4" t="inlineStr">
        <is>
          <t>eindeutig</t>
        </is>
      </c>
      <c r="W49" s="5" t="inlineStr"/>
    </row>
    <row r="51">
      <c r="P51" s="11" t="inlineStr">
        <is>
          <t>Summe erfasster Positionen</t>
        </is>
      </c>
      <c r="R51" s="12">
        <f>SUM(R6:R49)</f>
        <v/>
      </c>
    </row>
    <row r="52">
      <c r="P52" s="13" t="inlineStr">
        <is>
          <t>davon DigiKey</t>
        </is>
      </c>
      <c r="R52" s="14">
        <f>SUMIF(P6:P49,"DigiKey",R6:R49)</f>
        <v/>
      </c>
    </row>
    <row r="53">
      <c r="P53" s="13" t="inlineStr">
        <is>
          <t>davon Mouser</t>
        </is>
      </c>
      <c r="R53" s="14">
        <f>SUMIF(P6:P49,"Mouser",R6:R49)</f>
        <v/>
      </c>
    </row>
    <row r="55">
      <c r="A55" s="2" t="inlineStr">
        <is>
          <t xml:space="preserve">Von 44 Positionen tragen 44 einen Preis aus der API (18 über DigiKey, 26 über Mouser). </t>
        </is>
      </c>
    </row>
  </sheetData>
  <autoFilter ref="A5:W49"/>
  <dataValidations count="1">
    <dataValidation sqref="P6 P7 P8 P9 P10 P11 P12 P13 P14 P15 P16 P17 P18 P19 P20 P21 P22 P23 P24 P25 P26 P27 P28 P29 P30 P31 P32 P33 P34 P35 P36 P37 P38 P39 P40 P41 P42 P43 P44 P45 P46 P47 P48 P49" showDropDown="0" showInputMessage="0" showErrorMessage="0" allowBlank="1" type="list">
      <formula1>"DigiKey,Mouser"</formula1>
    </dataValidation>
  </dataValidations>
  <hyperlinks>
    <hyperlink xmlns:r="http://schemas.openxmlformats.org/officeDocument/2006/relationships" ref="S6" r:id="rId1"/>
    <hyperlink xmlns:r="http://schemas.openxmlformats.org/officeDocument/2006/relationships" ref="T6" r:id="rId2"/>
    <hyperlink xmlns:r="http://schemas.openxmlformats.org/officeDocument/2006/relationships" ref="U6" r:id="rId3"/>
    <hyperlink xmlns:r="http://schemas.openxmlformats.org/officeDocument/2006/relationships" ref="S7" r:id="rId4"/>
    <hyperlink xmlns:r="http://schemas.openxmlformats.org/officeDocument/2006/relationships" ref="T7" r:id="rId5"/>
    <hyperlink xmlns:r="http://schemas.openxmlformats.org/officeDocument/2006/relationships" ref="U7" r:id="rId6"/>
    <hyperlink xmlns:r="http://schemas.openxmlformats.org/officeDocument/2006/relationships" ref="S8" r:id="rId7"/>
    <hyperlink xmlns:r="http://schemas.openxmlformats.org/officeDocument/2006/relationships" ref="T8" r:id="rId8"/>
    <hyperlink xmlns:r="http://schemas.openxmlformats.org/officeDocument/2006/relationships" ref="U8" r:id="rId9"/>
    <hyperlink xmlns:r="http://schemas.openxmlformats.org/officeDocument/2006/relationships" ref="S9" r:id="rId10"/>
    <hyperlink xmlns:r="http://schemas.openxmlformats.org/officeDocument/2006/relationships" ref="T9" r:id="rId11"/>
    <hyperlink xmlns:r="http://schemas.openxmlformats.org/officeDocument/2006/relationships" ref="U9" r:id="rId12"/>
    <hyperlink xmlns:r="http://schemas.openxmlformats.org/officeDocument/2006/relationships" ref="S10" r:id="rId13"/>
    <hyperlink xmlns:r="http://schemas.openxmlformats.org/officeDocument/2006/relationships" ref="T10" r:id="rId14"/>
    <hyperlink xmlns:r="http://schemas.openxmlformats.org/officeDocument/2006/relationships" ref="U10" r:id="rId15"/>
    <hyperlink xmlns:r="http://schemas.openxmlformats.org/officeDocument/2006/relationships" ref="S11" r:id="rId16"/>
    <hyperlink xmlns:r="http://schemas.openxmlformats.org/officeDocument/2006/relationships" ref="T11" r:id="rId17"/>
    <hyperlink xmlns:r="http://schemas.openxmlformats.org/officeDocument/2006/relationships" ref="U11" r:id="rId18"/>
    <hyperlink xmlns:r="http://schemas.openxmlformats.org/officeDocument/2006/relationships" ref="S12" r:id="rId19"/>
    <hyperlink xmlns:r="http://schemas.openxmlformats.org/officeDocument/2006/relationships" ref="T12" r:id="rId20"/>
    <hyperlink xmlns:r="http://schemas.openxmlformats.org/officeDocument/2006/relationships" ref="U12" r:id="rId21"/>
    <hyperlink xmlns:r="http://schemas.openxmlformats.org/officeDocument/2006/relationships" ref="S13" r:id="rId22"/>
    <hyperlink xmlns:r="http://schemas.openxmlformats.org/officeDocument/2006/relationships" ref="T13" r:id="rId23"/>
    <hyperlink xmlns:r="http://schemas.openxmlformats.org/officeDocument/2006/relationships" ref="U13" r:id="rId24"/>
    <hyperlink xmlns:r="http://schemas.openxmlformats.org/officeDocument/2006/relationships" ref="S14" r:id="rId25"/>
    <hyperlink xmlns:r="http://schemas.openxmlformats.org/officeDocument/2006/relationships" ref="T14" r:id="rId26"/>
    <hyperlink xmlns:r="http://schemas.openxmlformats.org/officeDocument/2006/relationships" ref="U14" r:id="rId27"/>
    <hyperlink xmlns:r="http://schemas.openxmlformats.org/officeDocument/2006/relationships" ref="S15" r:id="rId28"/>
    <hyperlink xmlns:r="http://schemas.openxmlformats.org/officeDocument/2006/relationships" ref="T15" r:id="rId29"/>
    <hyperlink xmlns:r="http://schemas.openxmlformats.org/officeDocument/2006/relationships" ref="U15" r:id="rId30"/>
    <hyperlink xmlns:r="http://schemas.openxmlformats.org/officeDocument/2006/relationships" ref="S16" r:id="rId31"/>
    <hyperlink xmlns:r="http://schemas.openxmlformats.org/officeDocument/2006/relationships" ref="T16" r:id="rId32"/>
    <hyperlink xmlns:r="http://schemas.openxmlformats.org/officeDocument/2006/relationships" ref="U16" r:id="rId33"/>
    <hyperlink xmlns:r="http://schemas.openxmlformats.org/officeDocument/2006/relationships" ref="S17" r:id="rId34"/>
    <hyperlink xmlns:r="http://schemas.openxmlformats.org/officeDocument/2006/relationships" ref="T17" r:id="rId35"/>
    <hyperlink xmlns:r="http://schemas.openxmlformats.org/officeDocument/2006/relationships" ref="U17" r:id="rId36"/>
    <hyperlink xmlns:r="http://schemas.openxmlformats.org/officeDocument/2006/relationships" ref="S18" r:id="rId37"/>
    <hyperlink xmlns:r="http://schemas.openxmlformats.org/officeDocument/2006/relationships" ref="T18" r:id="rId38"/>
    <hyperlink xmlns:r="http://schemas.openxmlformats.org/officeDocument/2006/relationships" ref="U18" r:id="rId39"/>
    <hyperlink xmlns:r="http://schemas.openxmlformats.org/officeDocument/2006/relationships" ref="S19" r:id="rId40"/>
    <hyperlink xmlns:r="http://schemas.openxmlformats.org/officeDocument/2006/relationships" ref="T19" r:id="rId41"/>
    <hyperlink xmlns:r="http://schemas.openxmlformats.org/officeDocument/2006/relationships" ref="U19" r:id="rId42"/>
    <hyperlink xmlns:r="http://schemas.openxmlformats.org/officeDocument/2006/relationships" ref="S20" r:id="rId43"/>
    <hyperlink xmlns:r="http://schemas.openxmlformats.org/officeDocument/2006/relationships" ref="T20" r:id="rId44"/>
    <hyperlink xmlns:r="http://schemas.openxmlformats.org/officeDocument/2006/relationships" ref="U20" r:id="rId45"/>
    <hyperlink xmlns:r="http://schemas.openxmlformats.org/officeDocument/2006/relationships" ref="S21" r:id="rId46"/>
    <hyperlink xmlns:r="http://schemas.openxmlformats.org/officeDocument/2006/relationships" ref="T21" r:id="rId47"/>
    <hyperlink xmlns:r="http://schemas.openxmlformats.org/officeDocument/2006/relationships" ref="U21" r:id="rId48"/>
    <hyperlink xmlns:r="http://schemas.openxmlformats.org/officeDocument/2006/relationships" ref="S22" r:id="rId49"/>
    <hyperlink xmlns:r="http://schemas.openxmlformats.org/officeDocument/2006/relationships" ref="T22" r:id="rId50"/>
    <hyperlink xmlns:r="http://schemas.openxmlformats.org/officeDocument/2006/relationships" ref="U22" r:id="rId51"/>
    <hyperlink xmlns:r="http://schemas.openxmlformats.org/officeDocument/2006/relationships" ref="S23" r:id="rId52"/>
    <hyperlink xmlns:r="http://schemas.openxmlformats.org/officeDocument/2006/relationships" ref="T23" r:id="rId53"/>
    <hyperlink xmlns:r="http://schemas.openxmlformats.org/officeDocument/2006/relationships" ref="U23" r:id="rId54"/>
    <hyperlink xmlns:r="http://schemas.openxmlformats.org/officeDocument/2006/relationships" ref="S24" r:id="rId55"/>
    <hyperlink xmlns:r="http://schemas.openxmlformats.org/officeDocument/2006/relationships" ref="T24" r:id="rId56"/>
    <hyperlink xmlns:r="http://schemas.openxmlformats.org/officeDocument/2006/relationships" ref="U24" r:id="rId57"/>
    <hyperlink xmlns:r="http://schemas.openxmlformats.org/officeDocument/2006/relationships" ref="S25" r:id="rId58"/>
    <hyperlink xmlns:r="http://schemas.openxmlformats.org/officeDocument/2006/relationships" ref="T25" r:id="rId59"/>
    <hyperlink xmlns:r="http://schemas.openxmlformats.org/officeDocument/2006/relationships" ref="U25" r:id="rId60"/>
    <hyperlink xmlns:r="http://schemas.openxmlformats.org/officeDocument/2006/relationships" ref="S26" r:id="rId61"/>
    <hyperlink xmlns:r="http://schemas.openxmlformats.org/officeDocument/2006/relationships" ref="T26" r:id="rId62"/>
    <hyperlink xmlns:r="http://schemas.openxmlformats.org/officeDocument/2006/relationships" ref="U26" r:id="rId63"/>
    <hyperlink xmlns:r="http://schemas.openxmlformats.org/officeDocument/2006/relationships" ref="S27" r:id="rId64"/>
    <hyperlink xmlns:r="http://schemas.openxmlformats.org/officeDocument/2006/relationships" ref="T27" r:id="rId65"/>
    <hyperlink xmlns:r="http://schemas.openxmlformats.org/officeDocument/2006/relationships" ref="U27" r:id="rId66"/>
    <hyperlink xmlns:r="http://schemas.openxmlformats.org/officeDocument/2006/relationships" ref="S28" r:id="rId67"/>
    <hyperlink xmlns:r="http://schemas.openxmlformats.org/officeDocument/2006/relationships" ref="T28" r:id="rId68"/>
    <hyperlink xmlns:r="http://schemas.openxmlformats.org/officeDocument/2006/relationships" ref="U28" r:id="rId69"/>
    <hyperlink xmlns:r="http://schemas.openxmlformats.org/officeDocument/2006/relationships" ref="S29" r:id="rId70"/>
    <hyperlink xmlns:r="http://schemas.openxmlformats.org/officeDocument/2006/relationships" ref="T29" r:id="rId71"/>
    <hyperlink xmlns:r="http://schemas.openxmlformats.org/officeDocument/2006/relationships" ref="U29" r:id="rId72"/>
    <hyperlink xmlns:r="http://schemas.openxmlformats.org/officeDocument/2006/relationships" ref="S30" r:id="rId73"/>
    <hyperlink xmlns:r="http://schemas.openxmlformats.org/officeDocument/2006/relationships" ref="T30" r:id="rId74"/>
    <hyperlink xmlns:r="http://schemas.openxmlformats.org/officeDocument/2006/relationships" ref="U30" r:id="rId75"/>
    <hyperlink xmlns:r="http://schemas.openxmlformats.org/officeDocument/2006/relationships" ref="S31" r:id="rId76"/>
    <hyperlink xmlns:r="http://schemas.openxmlformats.org/officeDocument/2006/relationships" ref="T31" r:id="rId77"/>
    <hyperlink xmlns:r="http://schemas.openxmlformats.org/officeDocument/2006/relationships" ref="U31" r:id="rId78"/>
    <hyperlink xmlns:r="http://schemas.openxmlformats.org/officeDocument/2006/relationships" ref="S32" r:id="rId79"/>
    <hyperlink xmlns:r="http://schemas.openxmlformats.org/officeDocument/2006/relationships" ref="T32" r:id="rId80"/>
    <hyperlink xmlns:r="http://schemas.openxmlformats.org/officeDocument/2006/relationships" ref="U32" r:id="rId81"/>
    <hyperlink xmlns:r="http://schemas.openxmlformats.org/officeDocument/2006/relationships" ref="S33" r:id="rId82"/>
    <hyperlink xmlns:r="http://schemas.openxmlformats.org/officeDocument/2006/relationships" ref="T33" r:id="rId83"/>
    <hyperlink xmlns:r="http://schemas.openxmlformats.org/officeDocument/2006/relationships" ref="U33" r:id="rId84"/>
    <hyperlink xmlns:r="http://schemas.openxmlformats.org/officeDocument/2006/relationships" ref="S34" r:id="rId85"/>
    <hyperlink xmlns:r="http://schemas.openxmlformats.org/officeDocument/2006/relationships" ref="T34" r:id="rId86"/>
    <hyperlink xmlns:r="http://schemas.openxmlformats.org/officeDocument/2006/relationships" ref="U34" r:id="rId87"/>
    <hyperlink xmlns:r="http://schemas.openxmlformats.org/officeDocument/2006/relationships" ref="S35" r:id="rId88"/>
    <hyperlink xmlns:r="http://schemas.openxmlformats.org/officeDocument/2006/relationships" ref="T35" r:id="rId89"/>
    <hyperlink xmlns:r="http://schemas.openxmlformats.org/officeDocument/2006/relationships" ref="U35" r:id="rId90"/>
    <hyperlink xmlns:r="http://schemas.openxmlformats.org/officeDocument/2006/relationships" ref="S36" r:id="rId91"/>
    <hyperlink xmlns:r="http://schemas.openxmlformats.org/officeDocument/2006/relationships" ref="T36" r:id="rId92"/>
    <hyperlink xmlns:r="http://schemas.openxmlformats.org/officeDocument/2006/relationships" ref="U36" r:id="rId93"/>
    <hyperlink xmlns:r="http://schemas.openxmlformats.org/officeDocument/2006/relationships" ref="S37" r:id="rId94"/>
    <hyperlink xmlns:r="http://schemas.openxmlformats.org/officeDocument/2006/relationships" ref="T37" r:id="rId95"/>
    <hyperlink xmlns:r="http://schemas.openxmlformats.org/officeDocument/2006/relationships" ref="U37" r:id="rId96"/>
    <hyperlink xmlns:r="http://schemas.openxmlformats.org/officeDocument/2006/relationships" ref="S38" r:id="rId97"/>
    <hyperlink xmlns:r="http://schemas.openxmlformats.org/officeDocument/2006/relationships" ref="T38" r:id="rId98"/>
    <hyperlink xmlns:r="http://schemas.openxmlformats.org/officeDocument/2006/relationships" ref="U38" r:id="rId99"/>
    <hyperlink xmlns:r="http://schemas.openxmlformats.org/officeDocument/2006/relationships" ref="S39" r:id="rId100"/>
    <hyperlink xmlns:r="http://schemas.openxmlformats.org/officeDocument/2006/relationships" ref="T39" r:id="rId101"/>
    <hyperlink xmlns:r="http://schemas.openxmlformats.org/officeDocument/2006/relationships" ref="U39" r:id="rId102"/>
    <hyperlink xmlns:r="http://schemas.openxmlformats.org/officeDocument/2006/relationships" ref="S40" r:id="rId103"/>
    <hyperlink xmlns:r="http://schemas.openxmlformats.org/officeDocument/2006/relationships" ref="T40" r:id="rId104"/>
    <hyperlink xmlns:r="http://schemas.openxmlformats.org/officeDocument/2006/relationships" ref="U40" r:id="rId105"/>
    <hyperlink xmlns:r="http://schemas.openxmlformats.org/officeDocument/2006/relationships" ref="S41" r:id="rId106"/>
    <hyperlink xmlns:r="http://schemas.openxmlformats.org/officeDocument/2006/relationships" ref="T41" r:id="rId107"/>
    <hyperlink xmlns:r="http://schemas.openxmlformats.org/officeDocument/2006/relationships" ref="U41" r:id="rId108"/>
    <hyperlink xmlns:r="http://schemas.openxmlformats.org/officeDocument/2006/relationships" ref="S42" r:id="rId109"/>
    <hyperlink xmlns:r="http://schemas.openxmlformats.org/officeDocument/2006/relationships" ref="T42" r:id="rId110"/>
    <hyperlink xmlns:r="http://schemas.openxmlformats.org/officeDocument/2006/relationships" ref="U42" r:id="rId111"/>
    <hyperlink xmlns:r="http://schemas.openxmlformats.org/officeDocument/2006/relationships" ref="S43" r:id="rId112"/>
    <hyperlink xmlns:r="http://schemas.openxmlformats.org/officeDocument/2006/relationships" ref="T43" r:id="rId113"/>
    <hyperlink xmlns:r="http://schemas.openxmlformats.org/officeDocument/2006/relationships" ref="U43" r:id="rId114"/>
    <hyperlink xmlns:r="http://schemas.openxmlformats.org/officeDocument/2006/relationships" ref="S44" r:id="rId115"/>
    <hyperlink xmlns:r="http://schemas.openxmlformats.org/officeDocument/2006/relationships" ref="T44" r:id="rId116"/>
    <hyperlink xmlns:r="http://schemas.openxmlformats.org/officeDocument/2006/relationships" ref="U44" r:id="rId117"/>
    <hyperlink xmlns:r="http://schemas.openxmlformats.org/officeDocument/2006/relationships" ref="S45" r:id="rId118"/>
    <hyperlink xmlns:r="http://schemas.openxmlformats.org/officeDocument/2006/relationships" ref="T45" r:id="rId119"/>
    <hyperlink xmlns:r="http://schemas.openxmlformats.org/officeDocument/2006/relationships" ref="U45" r:id="rId120"/>
    <hyperlink xmlns:r="http://schemas.openxmlformats.org/officeDocument/2006/relationships" ref="S46" r:id="rId121"/>
    <hyperlink xmlns:r="http://schemas.openxmlformats.org/officeDocument/2006/relationships" ref="T46" r:id="rId122"/>
    <hyperlink xmlns:r="http://schemas.openxmlformats.org/officeDocument/2006/relationships" ref="U46" r:id="rId123"/>
    <hyperlink xmlns:r="http://schemas.openxmlformats.org/officeDocument/2006/relationships" ref="S47" r:id="rId124"/>
    <hyperlink xmlns:r="http://schemas.openxmlformats.org/officeDocument/2006/relationships" ref="T47" r:id="rId125"/>
    <hyperlink xmlns:r="http://schemas.openxmlformats.org/officeDocument/2006/relationships" ref="U47" r:id="rId126"/>
    <hyperlink xmlns:r="http://schemas.openxmlformats.org/officeDocument/2006/relationships" ref="S48" r:id="rId127"/>
    <hyperlink xmlns:r="http://schemas.openxmlformats.org/officeDocument/2006/relationships" ref="T48" r:id="rId128"/>
    <hyperlink xmlns:r="http://schemas.openxmlformats.org/officeDocument/2006/relationships" ref="U48" r:id="rId129"/>
    <hyperlink xmlns:r="http://schemas.openxmlformats.org/officeDocument/2006/relationships" ref="S49" r:id="rId130"/>
    <hyperlink xmlns:r="http://schemas.openxmlformats.org/officeDocument/2006/relationships" ref="T49" r:id="rId131"/>
    <hyperlink xmlns:r="http://schemas.openxmlformats.org/officeDocument/2006/relationships" ref="U49" r:id="rId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pane ySplit="5" topLeftCell="A6" activePane="bottomLeft" state="frozen"/>
      <selection pane="bottomLeft" activeCell="A1" sqref="A1"/>
    </sheetView>
  </sheetViews>
  <sheetFormatPr baseColWidth="8" defaultRowHeight="15"/>
  <cols>
    <col width="12" customWidth="1" min="1" max="1"/>
    <col width="20" customWidth="1" min="2" max="2"/>
    <col width="8" customWidth="1" min="3" max="3"/>
    <col width="30" customWidth="1" min="4" max="4"/>
    <col width="30" customWidth="1" min="5" max="5"/>
    <col width="40" customWidth="1" min="6" max="6"/>
    <col width="18" customWidth="1" min="7" max="7"/>
    <col width="24" customWidth="1" min="8" max="8"/>
    <col width="22" customWidth="1" min="9" max="9"/>
  </cols>
  <sheetData>
    <row r="1">
      <c r="A1" s="1" t="inlineStr">
        <is>
          <t>Einzelpositionen</t>
        </is>
      </c>
    </row>
    <row r="2">
      <c r="A2" t="inlineStr">
        <is>
          <t>Alle 78 bestückten Referenzen einzeln · Stand 2026-09-29</t>
        </is>
      </c>
    </row>
    <row r="3">
      <c r="A3" s="2" t="inlineStr">
        <is>
          <t>Dient dem Abgleich gegen den Schaltplan — jede Referenz erscheint genau einmal.</t>
        </is>
      </c>
    </row>
    <row r="5">
      <c r="A5" s="3" t="inlineStr">
        <is>
          <t>Referenz</t>
        </is>
      </c>
      <c r="B5" s="3" t="inlineStr">
        <is>
          <t>Wert</t>
        </is>
      </c>
      <c r="C5" s="3" t="inlineStr">
        <is>
          <t>Technik</t>
        </is>
      </c>
      <c r="D5" s="3" t="inlineStr">
        <is>
          <t>Blatt</t>
        </is>
      </c>
      <c r="E5" s="3" t="inlineStr">
        <is>
          <t>Symbol (lib_id)</t>
        </is>
      </c>
      <c r="F5" s="3" t="inlineStr">
        <is>
          <t>Footprint</t>
        </is>
      </c>
      <c r="G5" s="3" t="inlineStr">
        <is>
          <t>Hersteller</t>
        </is>
      </c>
      <c r="H5" s="3" t="inlineStr">
        <is>
          <t>Hersteller-Teilenr.</t>
        </is>
      </c>
      <c r="I5" s="3" t="inlineStr">
        <is>
          <t>Mouser-Teilenr.</t>
        </is>
      </c>
    </row>
    <row r="6">
      <c r="A6" s="15" t="inlineStr">
        <is>
          <t>R21</t>
        </is>
      </c>
      <c r="B6" s="15" t="inlineStr">
        <is>
          <t>5,1 kΩ</t>
        </is>
      </c>
      <c r="C6" s="15" t="inlineStr">
        <is>
          <t>SMD</t>
        </is>
      </c>
      <c r="D6" s="15" t="inlineStr">
        <is>
          <t>BasisStation_Debugging.kicad_sch</t>
        </is>
      </c>
      <c r="E6" s="15" t="inlineStr">
        <is>
          <t>Device:R</t>
        </is>
      </c>
      <c r="F6" s="15" t="inlineStr">
        <is>
          <t>Resistor_SMD:R_0805_2012Metric</t>
        </is>
      </c>
      <c r="G6" s="15" t="inlineStr">
        <is>
          <t>YAGEO</t>
        </is>
      </c>
      <c r="H6" s="15" t="inlineStr">
        <is>
          <t>RC0805FR-075K1L</t>
        </is>
      </c>
      <c r="I6" s="15" t="inlineStr">
        <is>
          <t>603-RC0805FR-075K1L</t>
        </is>
      </c>
    </row>
    <row r="7">
      <c r="A7" s="15" t="inlineStr">
        <is>
          <t>J1</t>
        </is>
      </c>
      <c r="B7" s="15" t="inlineStr">
        <is>
          <t>12401598E4-2A</t>
        </is>
      </c>
      <c r="C7" s="15" t="inlineStr">
        <is>
          <t>THT</t>
        </is>
      </c>
      <c r="D7" s="15" t="inlineStr">
        <is>
          <t>BasisStation_Debugging.kicad_sch</t>
        </is>
      </c>
      <c r="E7" s="15" t="inlineStr">
        <is>
          <t>Connector:USB_C_Receptacle_USB2.0_16P</t>
        </is>
      </c>
      <c r="F7" s="15" t="inlineStr">
        <is>
          <t>shbs_power:USB_C_Receptacle_Amphenol_12401598E4-2A</t>
        </is>
      </c>
      <c r="G7" s="15" t="inlineStr">
        <is>
          <t>Amphenol</t>
        </is>
      </c>
      <c r="H7" s="15" t="inlineStr">
        <is>
          <t>12401598E4#2A</t>
        </is>
      </c>
      <c r="I7" s="15" t="inlineStr">
        <is>
          <t>523-12401598E4#2A</t>
        </is>
      </c>
    </row>
    <row r="8">
      <c r="A8" s="15" t="inlineStr">
        <is>
          <t>U1</t>
        </is>
      </c>
      <c r="B8" s="15" t="inlineStr">
        <is>
          <t>D3V3XA4B10LP</t>
        </is>
      </c>
      <c r="C8" s="15" t="inlineStr">
        <is>
          <t>SMD</t>
        </is>
      </c>
      <c r="D8" s="15" t="inlineStr">
        <is>
          <t>BasisStation_Debugging.kicad_sch</t>
        </is>
      </c>
      <c r="E8" s="15" t="inlineStr">
        <is>
          <t>Power_Protection:D3V3XA4B10LP</t>
        </is>
      </c>
      <c r="F8" s="15" t="inlineStr">
        <is>
          <t>Package_DFN_QFN:Diodes_UDFN-10_1x2.5mm_P0.5mm</t>
        </is>
      </c>
      <c r="G8" s="15" t="inlineStr">
        <is>
          <t>Diodes Incorporated</t>
        </is>
      </c>
      <c r="H8" s="15" t="inlineStr">
        <is>
          <t>D3V3XA4B10LP-7</t>
        </is>
      </c>
      <c r="I8" s="15" t="inlineStr">
        <is>
          <t>621-D3V3XA4B10LP-7</t>
        </is>
      </c>
    </row>
    <row r="9">
      <c r="A9" s="15" t="inlineStr">
        <is>
          <t>R22</t>
        </is>
      </c>
      <c r="B9" s="15" t="inlineStr">
        <is>
          <t>5,1 kΩ</t>
        </is>
      </c>
      <c r="C9" s="15" t="inlineStr">
        <is>
          <t>SMD</t>
        </is>
      </c>
      <c r="D9" s="15" t="inlineStr">
        <is>
          <t>BasisStation_Debugging.kicad_sch</t>
        </is>
      </c>
      <c r="E9" s="15" t="inlineStr">
        <is>
          <t>Device:R</t>
        </is>
      </c>
      <c r="F9" s="15" t="inlineStr">
        <is>
          <t>Resistor_SMD:R_0805_2012Metric</t>
        </is>
      </c>
      <c r="G9" s="15" t="inlineStr">
        <is>
          <t>YAGEO</t>
        </is>
      </c>
      <c r="H9" s="15" t="inlineStr">
        <is>
          <t>RC0805FR-075K1L</t>
        </is>
      </c>
      <c r="I9" s="15" t="inlineStr">
        <is>
          <t>603-RC0805FR-075K1L</t>
        </is>
      </c>
    </row>
    <row r="10">
      <c r="A10" s="15" t="inlineStr">
        <is>
          <t>Q1</t>
        </is>
      </c>
      <c r="B10" s="15" t="inlineStr">
        <is>
          <t>BC337</t>
        </is>
      </c>
      <c r="C10" s="15" t="inlineStr">
        <is>
          <t>THT</t>
        </is>
      </c>
      <c r="D10" s="15" t="inlineStr">
        <is>
          <t>BasisStation_Layout.kicad_sch</t>
        </is>
      </c>
      <c r="E10" s="15" t="inlineStr">
        <is>
          <t>Transistor_BJT:BC337</t>
        </is>
      </c>
      <c r="F10" s="15" t="inlineStr">
        <is>
          <t>Package_TO_SOT_THT:TO-92_Inline</t>
        </is>
      </c>
      <c r="G10" s="15" t="inlineStr">
        <is>
          <t>onsemi</t>
        </is>
      </c>
      <c r="H10" s="15" t="inlineStr">
        <is>
          <t>BC33740BU</t>
        </is>
      </c>
      <c r="I10" s="15" t="inlineStr">
        <is>
          <t>512-BC33740BU</t>
        </is>
      </c>
    </row>
    <row r="11">
      <c r="A11" s="15" t="inlineStr">
        <is>
          <t>ANT2</t>
        </is>
      </c>
      <c r="B11" s="15" t="inlineStr">
        <is>
          <t>GW.20.A151</t>
        </is>
      </c>
      <c r="C11" s="15" t="inlineStr"/>
      <c r="D11" s="15" t="inlineStr">
        <is>
          <t>BasisStation_Layout.kicad_sch</t>
        </is>
      </c>
      <c r="E11" s="15" t="inlineStr">
        <is>
          <t>mechanical:WLAN_Antenna</t>
        </is>
      </c>
      <c r="F11" s="15" t="inlineStr"/>
      <c r="G11" s="15" t="inlineStr">
        <is>
          <t>Taoglas</t>
        </is>
      </c>
      <c r="H11" s="15" t="inlineStr">
        <is>
          <t>GW.20.A151</t>
        </is>
      </c>
      <c r="I11" s="15" t="inlineStr">
        <is>
          <t>960-GW.20.A151</t>
        </is>
      </c>
    </row>
    <row r="12">
      <c r="A12" s="15" t="inlineStr">
        <is>
          <t>D9</t>
        </is>
      </c>
      <c r="B12" s="15" t="inlineStr">
        <is>
          <t>RED</t>
        </is>
      </c>
      <c r="C12" s="15" t="inlineStr">
        <is>
          <t>THT</t>
        </is>
      </c>
      <c r="D12" s="15" t="inlineStr">
        <is>
          <t>BasisStation_Layout.kicad_sch</t>
        </is>
      </c>
      <c r="E12" s="15" t="inlineStr">
        <is>
          <t>Device:LED</t>
        </is>
      </c>
      <c r="F12" s="15" t="inlineStr">
        <is>
          <t>WL-TMRW_3MM:WL-TMRW_3MM</t>
        </is>
      </c>
      <c r="G12" s="15" t="inlineStr">
        <is>
          <t>Würth Elektronik</t>
        </is>
      </c>
      <c r="H12" s="15" t="inlineStr">
        <is>
          <t>151033RS03000</t>
        </is>
      </c>
      <c r="I12" s="15" t="inlineStr">
        <is>
          <t>710-151033RS03000</t>
        </is>
      </c>
    </row>
    <row r="13">
      <c r="A13" s="15" t="inlineStr">
        <is>
          <t>ANT1</t>
        </is>
      </c>
      <c r="B13" s="15" t="inlineStr">
        <is>
          <t>CAB.6061</t>
        </is>
      </c>
      <c r="C13" s="15" t="inlineStr"/>
      <c r="D13" s="15" t="inlineStr">
        <is>
          <t>BasisStation_Layout.kicad_sch</t>
        </is>
      </c>
      <c r="E13" s="15" t="inlineStr">
        <is>
          <t>mechanical:WLAN_Pigtail</t>
        </is>
      </c>
      <c r="F13" s="15" t="inlineStr"/>
      <c r="G13" s="15" t="inlineStr">
        <is>
          <t>Taoglas</t>
        </is>
      </c>
      <c r="H13" s="15" t="inlineStr">
        <is>
          <t>CAB.6061</t>
        </is>
      </c>
      <c r="I13" s="15" t="inlineStr">
        <is>
          <t>960-CAB.6061</t>
        </is>
      </c>
    </row>
    <row r="14">
      <c r="A14" s="15" t="inlineStr">
        <is>
          <t>C10</t>
        </is>
      </c>
      <c r="B14" s="15" t="inlineStr">
        <is>
          <t>WCAP-FTXX_P10</t>
        </is>
      </c>
      <c r="C14" s="15" t="inlineStr">
        <is>
          <t>SMD</t>
        </is>
      </c>
      <c r="D14" s="15" t="inlineStr">
        <is>
          <t>BasisStation_Layout.kicad_sch</t>
        </is>
      </c>
      <c r="E14" s="15" t="inlineStr">
        <is>
          <t>WCAP-FTXX_P10:WCAP-FTXX_P10</t>
        </is>
      </c>
      <c r="F14" s="15" t="inlineStr">
        <is>
          <t>WCAP-FTXX_P10:WCAP-FTXX_P10L13W7H13</t>
        </is>
      </c>
      <c r="G14" s="15" t="inlineStr">
        <is>
          <t>Würth Elektronik</t>
        </is>
      </c>
      <c r="H14" s="15" t="inlineStr">
        <is>
          <t>890334023023</t>
        </is>
      </c>
      <c r="I14" s="15" t="inlineStr"/>
    </row>
    <row r="15">
      <c r="A15" s="15" t="inlineStr">
        <is>
          <t>D7</t>
        </is>
      </c>
      <c r="B15" s="15" t="inlineStr">
        <is>
          <t>YELLOW</t>
        </is>
      </c>
      <c r="C15" s="15" t="inlineStr">
        <is>
          <t>THT</t>
        </is>
      </c>
      <c r="D15" s="15" t="inlineStr">
        <is>
          <t>BasisStation_Layout.kicad_sch</t>
        </is>
      </c>
      <c r="E15" s="15" t="inlineStr">
        <is>
          <t>Device:LED</t>
        </is>
      </c>
      <c r="F15" s="15" t="inlineStr">
        <is>
          <t>WL-TMRC_3MM:WL-TMRC_3MM</t>
        </is>
      </c>
      <c r="G15" s="15" t="inlineStr">
        <is>
          <t>Wurth Electronics</t>
        </is>
      </c>
      <c r="H15" s="15" t="inlineStr">
        <is>
          <t>151031YS05900</t>
        </is>
      </c>
      <c r="I15" s="15" t="inlineStr"/>
    </row>
    <row r="16">
      <c r="A16" s="15" t="inlineStr">
        <is>
          <t>R14</t>
        </is>
      </c>
      <c r="B16" s="15" t="inlineStr">
        <is>
          <t>220</t>
        </is>
      </c>
      <c r="C16" s="15" t="inlineStr">
        <is>
          <t>THT</t>
        </is>
      </c>
      <c r="D16" s="15" t="inlineStr">
        <is>
          <t>BasisStation_Layout.kicad_sch</t>
        </is>
      </c>
      <c r="E16" s="15" t="inlineStr">
        <is>
          <t>Device:R</t>
        </is>
      </c>
      <c r="F16" s="15" t="inlineStr">
        <is>
          <t>Resistor_THT:R_Axial_DIN0617_L17.0mm_D6.0mm_P20.32mm_Horizontal</t>
        </is>
      </c>
      <c r="G16" s="15" t="inlineStr">
        <is>
          <t>Vishay BC Components</t>
        </is>
      </c>
      <c r="H16" s="15" t="inlineStr">
        <is>
          <t>PR02000202200JR500</t>
        </is>
      </c>
      <c r="I16" s="15" t="inlineStr">
        <is>
          <t>594-5083NW220R0J</t>
        </is>
      </c>
    </row>
    <row r="17">
      <c r="A17" s="15" t="inlineStr">
        <is>
          <t>Q4</t>
        </is>
      </c>
      <c r="B17" s="15" t="inlineStr">
        <is>
          <t>BC337</t>
        </is>
      </c>
      <c r="C17" s="15" t="inlineStr">
        <is>
          <t>THT</t>
        </is>
      </c>
      <c r="D17" s="15" t="inlineStr">
        <is>
          <t>BasisStation_Layout.kicad_sch</t>
        </is>
      </c>
      <c r="E17" s="15" t="inlineStr">
        <is>
          <t>Transistor_BJT:BC337</t>
        </is>
      </c>
      <c r="F17" s="15" t="inlineStr">
        <is>
          <t>Package_TO_SOT_THT:TO-92_Inline</t>
        </is>
      </c>
      <c r="G17" s="15" t="inlineStr">
        <is>
          <t>onsemi</t>
        </is>
      </c>
      <c r="H17" s="15" t="inlineStr">
        <is>
          <t>BC33740BU</t>
        </is>
      </c>
      <c r="I17" s="15" t="inlineStr">
        <is>
          <t>512-BC33740BU</t>
        </is>
      </c>
    </row>
    <row r="18">
      <c r="A18" s="15" t="inlineStr">
        <is>
          <t>R15</t>
        </is>
      </c>
      <c r="B18" s="15" t="inlineStr">
        <is>
          <t>220</t>
        </is>
      </c>
      <c r="C18" s="15" t="inlineStr">
        <is>
          <t>THT</t>
        </is>
      </c>
      <c r="D18" s="15" t="inlineStr">
        <is>
          <t>BasisStation_Layout.kicad_sch</t>
        </is>
      </c>
      <c r="E18" s="15" t="inlineStr">
        <is>
          <t>Device:R</t>
        </is>
      </c>
      <c r="F18" s="15" t="inlineStr">
        <is>
          <t>Resistor_THT:R_Axial_DIN0617_L17.0mm_D6.0mm_P20.32mm_Horizontal</t>
        </is>
      </c>
      <c r="G18" s="15" t="inlineStr">
        <is>
          <t>Vishay BC Components</t>
        </is>
      </c>
      <c r="H18" s="15" t="inlineStr">
        <is>
          <t>PR02000202200JR500</t>
        </is>
      </c>
      <c r="I18" s="15" t="inlineStr">
        <is>
          <t>594-5083NW220R0J</t>
        </is>
      </c>
    </row>
    <row r="19">
      <c r="A19" s="15" t="inlineStr">
        <is>
          <t>C8</t>
        </is>
      </c>
      <c r="B19" s="15" t="inlineStr">
        <is>
          <t>WCAP-PT5H_6.3X5.2</t>
        </is>
      </c>
      <c r="C19" s="15" t="inlineStr">
        <is>
          <t>SMD</t>
        </is>
      </c>
      <c r="D19" s="15" t="inlineStr">
        <is>
          <t>BasisStation_Layout.kicad_sch</t>
        </is>
      </c>
      <c r="E19" s="15" t="inlineStr">
        <is>
          <t>WCAP-PT5H_6.3X5.2:WCAP-PT5H_6.3X5.2</t>
        </is>
      </c>
      <c r="F19" s="15" t="inlineStr">
        <is>
          <t>WCAP-PT5H_6.3X5.2:WCAP-PT5H_6.3X5.2_DXL_</t>
        </is>
      </c>
      <c r="G19" s="15" t="inlineStr">
        <is>
          <t>Wurth Elektronik</t>
        </is>
      </c>
      <c r="H19" s="15" t="inlineStr">
        <is>
          <t>870235673001</t>
        </is>
      </c>
      <c r="I19" s="15" t="inlineStr"/>
    </row>
    <row r="20">
      <c r="A20" s="15" t="inlineStr">
        <is>
          <t>R13</t>
        </is>
      </c>
      <c r="B20" s="15" t="inlineStr">
        <is>
          <t>220</t>
        </is>
      </c>
      <c r="C20" s="15" t="inlineStr">
        <is>
          <t>THT</t>
        </is>
      </c>
      <c r="D20" s="15" t="inlineStr">
        <is>
          <t>BasisStation_Layout.kicad_sch</t>
        </is>
      </c>
      <c r="E20" s="15" t="inlineStr">
        <is>
          <t>Device:R</t>
        </is>
      </c>
      <c r="F20" s="15" t="inlineStr">
        <is>
          <t>Resistor_THT:R_Axial_DIN0617_L17.0mm_D6.0mm_P20.32mm_Horizontal</t>
        </is>
      </c>
      <c r="G20" s="15" t="inlineStr">
        <is>
          <t>Vishay BC Components</t>
        </is>
      </c>
      <c r="H20" s="15" t="inlineStr">
        <is>
          <t>PR02000202200JR500</t>
        </is>
      </c>
      <c r="I20" s="15" t="inlineStr">
        <is>
          <t>594-5083NW220R0J</t>
        </is>
      </c>
    </row>
    <row r="21">
      <c r="A21" s="15" t="inlineStr">
        <is>
          <t>R26</t>
        </is>
      </c>
      <c r="B21" s="15" t="inlineStr">
        <is>
          <t>4,7k</t>
        </is>
      </c>
      <c r="C21" s="15" t="inlineStr">
        <is>
          <t>THT</t>
        </is>
      </c>
      <c r="D21" s="15" t="inlineStr">
        <is>
          <t>BasisStation_Layout.kicad_sch</t>
        </is>
      </c>
      <c r="E21" s="15" t="inlineStr">
        <is>
          <t>Device:R</t>
        </is>
      </c>
      <c r="F21" s="15" t="inlineStr">
        <is>
          <t>Resistor_THT:R_Axial_DIN0617_L17.0mm_D6.0mm_P20.32mm_Horizontal</t>
        </is>
      </c>
      <c r="G21" s="15" t="inlineStr">
        <is>
          <t>Vishay BC Components</t>
        </is>
      </c>
      <c r="H21" s="15" t="inlineStr">
        <is>
          <t>PR02000204701JR500</t>
        </is>
      </c>
      <c r="I21" s="15" t="inlineStr">
        <is>
          <t>594-5083NW4K700J</t>
        </is>
      </c>
    </row>
    <row r="22">
      <c r="A22" s="15" t="inlineStr">
        <is>
          <t>R9</t>
        </is>
      </c>
      <c r="B22" s="15" t="inlineStr">
        <is>
          <t>10k</t>
        </is>
      </c>
      <c r="C22" s="15" t="inlineStr">
        <is>
          <t>THT</t>
        </is>
      </c>
      <c r="D22" s="15" t="inlineStr">
        <is>
          <t>BasisStation_Layout.kicad_sch</t>
        </is>
      </c>
      <c r="E22" s="15" t="inlineStr">
        <is>
          <t>Device:R</t>
        </is>
      </c>
      <c r="F22" s="15" t="inlineStr">
        <is>
          <t>Resistor_THT:R_Axial_DIN0207_L6.3mm_D2.5mm_P10.16mm_Horizontal</t>
        </is>
      </c>
      <c r="G22" s="15" t="inlineStr">
        <is>
          <t>YAGEO</t>
        </is>
      </c>
      <c r="H22" s="15" t="inlineStr">
        <is>
          <t>MFR-25FBF52-10K</t>
        </is>
      </c>
      <c r="I22" s="15" t="inlineStr">
        <is>
          <t>603-MFR-25FBF52-10K</t>
        </is>
      </c>
    </row>
    <row r="23">
      <c r="A23" s="15" t="inlineStr">
        <is>
          <t>R23</t>
        </is>
      </c>
      <c r="B23" s="15" t="inlineStr">
        <is>
          <t>4,7k</t>
        </is>
      </c>
      <c r="C23" s="15" t="inlineStr">
        <is>
          <t>THT</t>
        </is>
      </c>
      <c r="D23" s="15" t="inlineStr">
        <is>
          <t>BasisStation_Layout.kicad_sch</t>
        </is>
      </c>
      <c r="E23" s="15" t="inlineStr">
        <is>
          <t>Device:R</t>
        </is>
      </c>
      <c r="F23" s="15" t="inlineStr">
        <is>
          <t>Resistor_THT:R_Axial_DIN0617_L17.0mm_D6.0mm_P20.32mm_Horizontal</t>
        </is>
      </c>
      <c r="G23" s="15" t="inlineStr">
        <is>
          <t>Vishay BC Components</t>
        </is>
      </c>
      <c r="H23" s="15" t="inlineStr">
        <is>
          <t>PR02000204701JR500</t>
        </is>
      </c>
      <c r="I23" s="15" t="inlineStr">
        <is>
          <t>594-5083NW4K700J</t>
        </is>
      </c>
    </row>
    <row r="24">
      <c r="A24" s="15" t="inlineStr">
        <is>
          <t>D8</t>
        </is>
      </c>
      <c r="B24" s="15" t="inlineStr">
        <is>
          <t>BLUE</t>
        </is>
      </c>
      <c r="C24" s="15" t="inlineStr">
        <is>
          <t>THT</t>
        </is>
      </c>
      <c r="D24" s="15" t="inlineStr">
        <is>
          <t>BasisStation_Layout.kicad_sch</t>
        </is>
      </c>
      <c r="E24" s="15" t="inlineStr">
        <is>
          <t>Device:LED</t>
        </is>
      </c>
      <c r="F24" s="15" t="inlineStr">
        <is>
          <t>WL-TMRW_3MM:WL-TMRW_3MM</t>
        </is>
      </c>
      <c r="G24" s="15" t="inlineStr">
        <is>
          <t>Würth Elektronik</t>
        </is>
      </c>
      <c r="H24" s="15" t="inlineStr">
        <is>
          <t>151033BS03000</t>
        </is>
      </c>
      <c r="I24" s="15" t="inlineStr">
        <is>
          <t>710-151033BS03000</t>
        </is>
      </c>
    </row>
    <row r="25">
      <c r="A25" s="15" t="inlineStr">
        <is>
          <t>C7</t>
        </is>
      </c>
      <c r="B25" s="15" t="inlineStr">
        <is>
          <t>WCAP-FTXX_P10</t>
        </is>
      </c>
      <c r="C25" s="15" t="inlineStr">
        <is>
          <t>SMD</t>
        </is>
      </c>
      <c r="D25" s="15" t="inlineStr">
        <is>
          <t>BasisStation_Layout.kicad_sch</t>
        </is>
      </c>
      <c r="E25" s="15" t="inlineStr">
        <is>
          <t>WCAP-FTXX_P10:WCAP-FTXX_P10</t>
        </is>
      </c>
      <c r="F25" s="15" t="inlineStr">
        <is>
          <t>WCAP-FTXX_P10:WCAP-FTXX_P10L13W7H13</t>
        </is>
      </c>
      <c r="G25" s="15" t="inlineStr">
        <is>
          <t>Würth Elektronik</t>
        </is>
      </c>
      <c r="H25" s="15" t="inlineStr">
        <is>
          <t>890334023023</t>
        </is>
      </c>
      <c r="I25" s="15" t="inlineStr"/>
    </row>
    <row r="26">
      <c r="A26" s="15" t="inlineStr">
        <is>
          <t>D10</t>
        </is>
      </c>
      <c r="B26" s="15" t="inlineStr">
        <is>
          <t>GREEN</t>
        </is>
      </c>
      <c r="C26" s="15" t="inlineStr">
        <is>
          <t>THT</t>
        </is>
      </c>
      <c r="D26" s="15" t="inlineStr">
        <is>
          <t>BasisStation_Layout.kicad_sch</t>
        </is>
      </c>
      <c r="E26" s="15" t="inlineStr">
        <is>
          <t>Device:LED</t>
        </is>
      </c>
      <c r="F26" s="15" t="inlineStr">
        <is>
          <t>WL-TMRC_3MM:WL-TMRC_3MM</t>
        </is>
      </c>
      <c r="G26" s="15" t="inlineStr">
        <is>
          <t>Würth Elektronik</t>
        </is>
      </c>
      <c r="H26" s="15" t="inlineStr">
        <is>
          <t>151031VS06000</t>
        </is>
      </c>
      <c r="I26" s="15" t="inlineStr">
        <is>
          <t>710-151031VS06000</t>
        </is>
      </c>
    </row>
    <row r="27">
      <c r="A27" s="15" t="inlineStr">
        <is>
          <t>Q3</t>
        </is>
      </c>
      <c r="B27" s="15" t="inlineStr">
        <is>
          <t>BC337</t>
        </is>
      </c>
      <c r="C27" s="15" t="inlineStr">
        <is>
          <t>THT</t>
        </is>
      </c>
      <c r="D27" s="15" t="inlineStr">
        <is>
          <t>BasisStation_Layout.kicad_sch</t>
        </is>
      </c>
      <c r="E27" s="15" t="inlineStr">
        <is>
          <t>Transistor_BJT:BC337</t>
        </is>
      </c>
      <c r="F27" s="15" t="inlineStr">
        <is>
          <t>Package_TO_SOT_THT:TO-92_Inline</t>
        </is>
      </c>
      <c r="G27" s="15" t="inlineStr">
        <is>
          <t>onsemi</t>
        </is>
      </c>
      <c r="H27" s="15" t="inlineStr">
        <is>
          <t>BC33740BU</t>
        </is>
      </c>
      <c r="I27" s="15" t="inlineStr">
        <is>
          <t>512-BC33740BU</t>
        </is>
      </c>
    </row>
    <row r="28">
      <c r="A28" s="15" t="inlineStr">
        <is>
          <t>S2</t>
        </is>
      </c>
      <c r="B28" s="15" t="inlineStr">
        <is>
          <t>PTS645VL58-2 LFS</t>
        </is>
      </c>
      <c r="C28" s="15" t="inlineStr">
        <is>
          <t>THT</t>
        </is>
      </c>
      <c r="D28" s="15" t="inlineStr">
        <is>
          <t>BasisStation_Layout.kicad_sch</t>
        </is>
      </c>
      <c r="E28" s="15" t="inlineStr">
        <is>
          <t>1543-650-149:1543-650-149</t>
        </is>
      </c>
      <c r="F28" s="15" t="inlineStr">
        <is>
          <t>PTS645VL58-2LFS:SW_Tactile_SPST_Angled_PTS645Vx58-2LFS</t>
        </is>
      </c>
      <c r="G28" s="15" t="inlineStr">
        <is>
          <t>C&amp;K</t>
        </is>
      </c>
      <c r="H28" s="15" t="inlineStr">
        <is>
          <t>PTS645VL58-2 LFS</t>
        </is>
      </c>
      <c r="I28" s="15" t="inlineStr">
        <is>
          <t>611-PTS645VL582</t>
        </is>
      </c>
    </row>
    <row r="29">
      <c r="A29" s="15" t="inlineStr">
        <is>
          <t>U6</t>
        </is>
      </c>
      <c r="B29" s="15" t="inlineStr">
        <is>
          <t>ESP32-S3-WROOM-1U-N16R8</t>
        </is>
      </c>
      <c r="C29" s="15" t="inlineStr">
        <is>
          <t>SMD</t>
        </is>
      </c>
      <c r="D29" s="15" t="inlineStr">
        <is>
          <t>BasisStation_Layout.kicad_sch</t>
        </is>
      </c>
      <c r="E29" s="15" t="inlineStr">
        <is>
          <t>ESP32-S3-WROOM-1U-N16R8:ESP32-S3-WROOM-1U-N16R8</t>
        </is>
      </c>
      <c r="F29" s="15" t="inlineStr">
        <is>
          <t>ESP32-S3-WROOM-1U-N16R8:ESP32-S3-WROOM-1U</t>
        </is>
      </c>
      <c r="G29" s="15" t="inlineStr">
        <is>
          <t>Espressif Systems</t>
        </is>
      </c>
      <c r="H29" s="15" t="inlineStr">
        <is>
          <t>ESP32-S3-WROOM-1U-N16R8</t>
        </is>
      </c>
      <c r="I29" s="15" t="inlineStr">
        <is>
          <t>356-ESP32S3WM1UN16R8</t>
        </is>
      </c>
    </row>
    <row r="30">
      <c r="A30" s="15" t="inlineStr">
        <is>
          <t>R24</t>
        </is>
      </c>
      <c r="B30" s="15" t="inlineStr">
        <is>
          <t>4,7k</t>
        </is>
      </c>
      <c r="C30" s="15" t="inlineStr">
        <is>
          <t>THT</t>
        </is>
      </c>
      <c r="D30" s="15" t="inlineStr">
        <is>
          <t>BasisStation_Layout.kicad_sch</t>
        </is>
      </c>
      <c r="E30" s="15" t="inlineStr">
        <is>
          <t>Device:R</t>
        </is>
      </c>
      <c r="F30" s="15" t="inlineStr">
        <is>
          <t>Resistor_THT:R_Axial_DIN0617_L17.0mm_D6.0mm_P20.32mm_Horizontal</t>
        </is>
      </c>
      <c r="G30" s="15" t="inlineStr">
        <is>
          <t>Vishay BC Components</t>
        </is>
      </c>
      <c r="H30" s="15" t="inlineStr">
        <is>
          <t>PR02000204701JR500</t>
        </is>
      </c>
      <c r="I30" s="15" t="inlineStr">
        <is>
          <t>594-5083NW4K700J</t>
        </is>
      </c>
    </row>
    <row r="31">
      <c r="A31" s="15" t="inlineStr">
        <is>
          <t>C12</t>
        </is>
      </c>
      <c r="B31" s="15" t="inlineStr">
        <is>
          <t>WCAP-FTXX_P10</t>
        </is>
      </c>
      <c r="C31" s="15" t="inlineStr">
        <is>
          <t>SMD</t>
        </is>
      </c>
      <c r="D31" s="15" t="inlineStr">
        <is>
          <t>BasisStation_Layout.kicad_sch</t>
        </is>
      </c>
      <c r="E31" s="15" t="inlineStr">
        <is>
          <t>WCAP-FTXX_P10:WCAP-FTXX_P10</t>
        </is>
      </c>
      <c r="F31" s="15" t="inlineStr">
        <is>
          <t>WCAP-FTXX_P10:WCAP-FTXX_P10L13W7H13</t>
        </is>
      </c>
      <c r="G31" s="15" t="inlineStr">
        <is>
          <t>Würth Elektronik</t>
        </is>
      </c>
      <c r="H31" s="15" t="inlineStr">
        <is>
          <t>890334023023</t>
        </is>
      </c>
      <c r="I31" s="15" t="inlineStr"/>
    </row>
    <row r="32">
      <c r="A32" s="15" t="inlineStr">
        <is>
          <t>J6</t>
        </is>
      </c>
      <c r="B32" s="15" t="inlineStr">
        <is>
          <t>61200621621</t>
        </is>
      </c>
      <c r="C32" s="15" t="inlineStr">
        <is>
          <t>THT</t>
        </is>
      </c>
      <c r="D32" s="15" t="inlineStr">
        <is>
          <t>BasisStation_Layout.kicad_sch</t>
        </is>
      </c>
      <c r="E32" s="15" t="inlineStr">
        <is>
          <t>Connector_Generic:Conn_02x03_Odd_Even</t>
        </is>
      </c>
      <c r="F32" s="15" t="inlineStr">
        <is>
          <t>wuerth_6120XX21621:61200621621</t>
        </is>
      </c>
      <c r="G32" s="15" t="inlineStr">
        <is>
          <t>Würth Elektronik</t>
        </is>
      </c>
      <c r="H32" s="15" t="inlineStr">
        <is>
          <t>61200621621</t>
        </is>
      </c>
      <c r="I32" s="15" t="inlineStr">
        <is>
          <t>710-61200621621</t>
        </is>
      </c>
    </row>
    <row r="33">
      <c r="A33" s="15" t="inlineStr">
        <is>
          <t>R25</t>
        </is>
      </c>
      <c r="B33" s="15" t="inlineStr">
        <is>
          <t>4,7k</t>
        </is>
      </c>
      <c r="C33" s="15" t="inlineStr">
        <is>
          <t>THT</t>
        </is>
      </c>
      <c r="D33" s="15" t="inlineStr">
        <is>
          <t>BasisStation_Layout.kicad_sch</t>
        </is>
      </c>
      <c r="E33" s="15" t="inlineStr">
        <is>
          <t>Device:R</t>
        </is>
      </c>
      <c r="F33" s="15" t="inlineStr">
        <is>
          <t>Resistor_THT:R_Axial_DIN0617_L17.0mm_D6.0mm_P20.32mm_Horizontal</t>
        </is>
      </c>
      <c r="G33" s="15" t="inlineStr">
        <is>
          <t>Vishay BC Components</t>
        </is>
      </c>
      <c r="H33" s="15" t="inlineStr">
        <is>
          <t>PR02000204701JR500</t>
        </is>
      </c>
      <c r="I33" s="15" t="inlineStr">
        <is>
          <t>594-5083NW4K700J</t>
        </is>
      </c>
    </row>
    <row r="34">
      <c r="A34" s="15" t="inlineStr">
        <is>
          <t>Q2</t>
        </is>
      </c>
      <c r="B34" s="15" t="inlineStr">
        <is>
          <t>BC337</t>
        </is>
      </c>
      <c r="C34" s="15" t="inlineStr">
        <is>
          <t>THT</t>
        </is>
      </c>
      <c r="D34" s="15" t="inlineStr">
        <is>
          <t>BasisStation_Layout.kicad_sch</t>
        </is>
      </c>
      <c r="E34" s="15" t="inlineStr">
        <is>
          <t>Transistor_BJT:BC337</t>
        </is>
      </c>
      <c r="F34" s="15" t="inlineStr">
        <is>
          <t>Package_TO_SOT_THT:TO-92_Inline</t>
        </is>
      </c>
      <c r="G34" s="15" t="inlineStr">
        <is>
          <t>onsemi</t>
        </is>
      </c>
      <c r="H34" s="15" t="inlineStr">
        <is>
          <t>BC33740BU</t>
        </is>
      </c>
      <c r="I34" s="15" t="inlineStr">
        <is>
          <t>512-BC33740BU</t>
        </is>
      </c>
    </row>
    <row r="35">
      <c r="A35" s="15" t="inlineStr">
        <is>
          <t>R16</t>
        </is>
      </c>
      <c r="B35" s="15" t="inlineStr">
        <is>
          <t>220</t>
        </is>
      </c>
      <c r="C35" s="15" t="inlineStr">
        <is>
          <t>THT</t>
        </is>
      </c>
      <c r="D35" s="15" t="inlineStr">
        <is>
          <t>BasisStation_Layout.kicad_sch</t>
        </is>
      </c>
      <c r="E35" s="15" t="inlineStr">
        <is>
          <t>Device:R</t>
        </is>
      </c>
      <c r="F35" s="15" t="inlineStr">
        <is>
          <t>Resistor_THT:R_Axial_DIN0617_L17.0mm_D6.0mm_P20.32mm_Horizontal</t>
        </is>
      </c>
      <c r="G35" s="15" t="inlineStr">
        <is>
          <t>Vishay BC Components</t>
        </is>
      </c>
      <c r="H35" s="15" t="inlineStr">
        <is>
          <t>PR02000202200JR500</t>
        </is>
      </c>
      <c r="I35" s="15" t="inlineStr">
        <is>
          <t>594-5083NW220R0J</t>
        </is>
      </c>
    </row>
    <row r="36">
      <c r="A36" s="15" t="inlineStr">
        <is>
          <t>R20</t>
        </is>
      </c>
      <c r="B36" s="15" t="inlineStr">
        <is>
          <t>5,1 kΩ</t>
        </is>
      </c>
      <c r="C36" s="15" t="inlineStr">
        <is>
          <t>SMD</t>
        </is>
      </c>
      <c r="D36" s="15" t="inlineStr">
        <is>
          <t>Stromversorgung.kicad_sch</t>
        </is>
      </c>
      <c r="E36" s="15" t="inlineStr">
        <is>
          <t>Device:R</t>
        </is>
      </c>
      <c r="F36" s="15" t="inlineStr">
        <is>
          <t>Resistor_SMD:R_0805_2012Metric</t>
        </is>
      </c>
      <c r="G36" s="15" t="inlineStr">
        <is>
          <t>YAGEO</t>
        </is>
      </c>
      <c r="H36" s="15" t="inlineStr">
        <is>
          <t>RC0805FR-075K1L</t>
        </is>
      </c>
      <c r="I36" s="15" t="inlineStr">
        <is>
          <t>603-RC0805FR-075K1L</t>
        </is>
      </c>
    </row>
    <row r="37">
      <c r="A37" s="15" t="inlineStr">
        <is>
          <t>J_PWR1</t>
        </is>
      </c>
      <c r="B37" s="15" t="inlineStr">
        <is>
          <t>12401598E4-2A</t>
        </is>
      </c>
      <c r="C37" s="15" t="inlineStr">
        <is>
          <t>THT</t>
        </is>
      </c>
      <c r="D37" s="15" t="inlineStr">
        <is>
          <t>Stromversorgung.kicad_sch</t>
        </is>
      </c>
      <c r="E37" s="15" t="inlineStr">
        <is>
          <t>shbs_power:USB_C_Receptacle_Power</t>
        </is>
      </c>
      <c r="F37" s="15" t="inlineStr">
        <is>
          <t>shbs_power:USB_C_Receptacle_Amphenol_12401598E4-2A</t>
        </is>
      </c>
      <c r="G37" s="15" t="inlineStr">
        <is>
          <t>Amphenol</t>
        </is>
      </c>
      <c r="H37" s="15" t="inlineStr">
        <is>
          <t>12401598E4#2A</t>
        </is>
      </c>
      <c r="I37" s="15" t="inlineStr">
        <is>
          <t>523-12401598E4#2A</t>
        </is>
      </c>
    </row>
    <row r="38">
      <c r="A38" s="15" t="inlineStr">
        <is>
          <t>C13</t>
        </is>
      </c>
      <c r="B38" s="15" t="inlineStr">
        <is>
          <t>10uF</t>
        </is>
      </c>
      <c r="C38" s="15" t="inlineStr">
        <is>
          <t>SMD</t>
        </is>
      </c>
      <c r="D38" s="15" t="inlineStr">
        <is>
          <t>Stromversorgung.kicad_sch</t>
        </is>
      </c>
      <c r="E38" s="15" t="inlineStr">
        <is>
          <t>Device:C</t>
        </is>
      </c>
      <c r="F38" s="15" t="inlineStr">
        <is>
          <t>Capacitor_SMD:C_0805_2012Metric</t>
        </is>
      </c>
      <c r="G38" s="15" t="inlineStr">
        <is>
          <t>Samsung</t>
        </is>
      </c>
      <c r="H38" s="15" t="inlineStr">
        <is>
          <t>CL21B106KOQNNNE</t>
        </is>
      </c>
      <c r="I38" s="15" t="inlineStr">
        <is>
          <t>187-CL21B106KOQNNNE</t>
        </is>
      </c>
    </row>
    <row r="39">
      <c r="A39" s="15" t="inlineStr">
        <is>
          <t>D11</t>
        </is>
      </c>
      <c r="B39" s="15" t="inlineStr">
        <is>
          <t>SS34</t>
        </is>
      </c>
      <c r="C39" s="15" t="inlineStr">
        <is>
          <t>SMD</t>
        </is>
      </c>
      <c r="D39" s="15" t="inlineStr">
        <is>
          <t>Stromversorgung.kicad_sch</t>
        </is>
      </c>
      <c r="E39" s="15" t="inlineStr">
        <is>
          <t>Diode:SS34</t>
        </is>
      </c>
      <c r="F39" s="15" t="inlineStr">
        <is>
          <t>Diode_SMD:D_SMA</t>
        </is>
      </c>
      <c r="G39" s="15" t="inlineStr">
        <is>
          <t>Comchip Technology</t>
        </is>
      </c>
      <c r="H39" s="15" t="inlineStr">
        <is>
          <t>SS34-HF</t>
        </is>
      </c>
      <c r="I39" s="15" t="inlineStr">
        <is>
          <t>750-SS34-HF</t>
        </is>
      </c>
    </row>
    <row r="40">
      <c r="A40" s="15" t="inlineStr">
        <is>
          <t>F1</t>
        </is>
      </c>
      <c r="B40" s="15" t="inlineStr">
        <is>
          <t>1.1A</t>
        </is>
      </c>
      <c r="C40" s="15" t="inlineStr">
        <is>
          <t>SMD</t>
        </is>
      </c>
      <c r="D40" s="15" t="inlineStr">
        <is>
          <t>Stromversorgung.kicad_sch</t>
        </is>
      </c>
      <c r="E40" s="15" t="inlineStr">
        <is>
          <t>Device:Fuse</t>
        </is>
      </c>
      <c r="F40" s="15" t="inlineStr">
        <is>
          <t>Fuse:Fuse_1206_3216Metric</t>
        </is>
      </c>
      <c r="G40" s="15" t="inlineStr">
        <is>
          <t>Bourns</t>
        </is>
      </c>
      <c r="H40" s="15" t="inlineStr">
        <is>
          <t>MF-NSMF110-2</t>
        </is>
      </c>
      <c r="I40" s="15" t="inlineStr">
        <is>
          <t>652-MF-NSMF110-2</t>
        </is>
      </c>
    </row>
    <row r="41">
      <c r="A41" s="15" t="inlineStr">
        <is>
          <t>R18</t>
        </is>
      </c>
      <c r="B41" s="15" t="inlineStr">
        <is>
          <t>16,2 kΩ</t>
        </is>
      </c>
      <c r="C41" s="15" t="inlineStr">
        <is>
          <t>SMD</t>
        </is>
      </c>
      <c r="D41" s="15" t="inlineStr">
        <is>
          <t>Stromversorgung.kicad_sch</t>
        </is>
      </c>
      <c r="E41" s="15" t="inlineStr">
        <is>
          <t>Device:R</t>
        </is>
      </c>
      <c r="F41" s="15" t="inlineStr">
        <is>
          <t>Resistor_SMD:R_0805_2012Metric</t>
        </is>
      </c>
      <c r="G41" s="15" t="inlineStr">
        <is>
          <t>YAGEO</t>
        </is>
      </c>
      <c r="H41" s="15" t="inlineStr">
        <is>
          <t>RC0805FR-0716K2L</t>
        </is>
      </c>
      <c r="I41" s="15" t="inlineStr">
        <is>
          <t>603-RC0805FR-0716K2L</t>
        </is>
      </c>
    </row>
    <row r="42">
      <c r="A42" s="15" t="inlineStr">
        <is>
          <t>C14</t>
        </is>
      </c>
      <c r="B42" s="15" t="inlineStr">
        <is>
          <t>22uF</t>
        </is>
      </c>
      <c r="C42" s="15" t="inlineStr">
        <is>
          <t>SMD</t>
        </is>
      </c>
      <c r="D42" s="15" t="inlineStr">
        <is>
          <t>Stromversorgung.kicad_sch</t>
        </is>
      </c>
      <c r="E42" s="15" t="inlineStr">
        <is>
          <t>Device:C</t>
        </is>
      </c>
      <c r="F42" s="15" t="inlineStr">
        <is>
          <t>Capacitor_SMD:C_0805_2012Metric</t>
        </is>
      </c>
      <c r="G42" s="15" t="inlineStr">
        <is>
          <t>Samsung</t>
        </is>
      </c>
      <c r="H42" s="15" t="inlineStr">
        <is>
          <t>CL21A226MOQNNNE</t>
        </is>
      </c>
      <c r="I42" s="15" t="inlineStr">
        <is>
          <t>187-CL21A226MOQNNNE</t>
        </is>
      </c>
    </row>
    <row r="43">
      <c r="A43" s="15" t="inlineStr">
        <is>
          <t>C15</t>
        </is>
      </c>
      <c r="B43" s="15" t="inlineStr">
        <is>
          <t>100 nF</t>
        </is>
      </c>
      <c r="C43" s="15" t="inlineStr">
        <is>
          <t>SMD</t>
        </is>
      </c>
      <c r="D43" s="15" t="inlineStr">
        <is>
          <t>Stromversorgung.kicad_sch</t>
        </is>
      </c>
      <c r="E43" s="15" t="inlineStr">
        <is>
          <t>Device:C</t>
        </is>
      </c>
      <c r="F43" s="15" t="inlineStr">
        <is>
          <t>Capacitor_SMD:C_0805_2012Metric</t>
        </is>
      </c>
      <c r="G43" s="15" t="inlineStr">
        <is>
          <t>YAGEO</t>
        </is>
      </c>
      <c r="H43" s="15" t="inlineStr">
        <is>
          <t>CC0805KRX7R9BB104</t>
        </is>
      </c>
      <c r="I43" s="15" t="inlineStr">
        <is>
          <t>603-CC805KRX7R9BB104</t>
        </is>
      </c>
    </row>
    <row r="44">
      <c r="A44" s="15" t="inlineStr">
        <is>
          <t>D12</t>
        </is>
      </c>
      <c r="B44" s="15" t="inlineStr">
        <is>
          <t>SMAJ5.0A</t>
        </is>
      </c>
      <c r="C44" s="15" t="inlineStr">
        <is>
          <t>SMD</t>
        </is>
      </c>
      <c r="D44" s="15" t="inlineStr">
        <is>
          <t>Stromversorgung.kicad_sch</t>
        </is>
      </c>
      <c r="E44" s="15" t="inlineStr">
        <is>
          <t>Diode:SMAJ5.0A</t>
        </is>
      </c>
      <c r="F44" s="15" t="inlineStr">
        <is>
          <t>Diode_SMD:D_SMA</t>
        </is>
      </c>
      <c r="G44" s="15" t="inlineStr">
        <is>
          <t>Littelfuse</t>
        </is>
      </c>
      <c r="H44" s="15" t="inlineStr">
        <is>
          <t>SMAJ5.0A</t>
        </is>
      </c>
      <c r="I44" s="15" t="inlineStr">
        <is>
          <t>576-SMAJ5.0A</t>
        </is>
      </c>
    </row>
    <row r="45">
      <c r="A45" s="15" t="inlineStr">
        <is>
          <t>PS1</t>
        </is>
      </c>
      <c r="B45" s="15" t="inlineStr">
        <is>
          <t>AP3211</t>
        </is>
      </c>
      <c r="C45" s="15" t="inlineStr">
        <is>
          <t>SMD</t>
        </is>
      </c>
      <c r="D45" s="15" t="inlineStr">
        <is>
          <t>Stromversorgung.kicad_sch</t>
        </is>
      </c>
      <c r="E45" s="15" t="inlineStr">
        <is>
          <t>shbs_power:AP3211</t>
        </is>
      </c>
      <c r="F45" s="15" t="inlineStr">
        <is>
          <t>shbs_power:MP2359DJ</t>
        </is>
      </c>
      <c r="G45" s="15" t="inlineStr">
        <is>
          <t>Diodes Incorporated</t>
        </is>
      </c>
      <c r="H45" s="15" t="inlineStr">
        <is>
          <t>AP3211KTR-G1</t>
        </is>
      </c>
      <c r="I45" s="15" t="inlineStr">
        <is>
          <t>621-AP3211KTR-G1</t>
        </is>
      </c>
    </row>
    <row r="46">
      <c r="A46" s="15" t="inlineStr">
        <is>
          <t>R17</t>
        </is>
      </c>
      <c r="B46" s="15" t="inlineStr">
        <is>
          <t>49,9 kΩ</t>
        </is>
      </c>
      <c r="C46" s="15" t="inlineStr">
        <is>
          <t>SMD</t>
        </is>
      </c>
      <c r="D46" s="15" t="inlineStr">
        <is>
          <t>Stromversorgung.kicad_sch</t>
        </is>
      </c>
      <c r="E46" s="15" t="inlineStr">
        <is>
          <t>Device:R</t>
        </is>
      </c>
      <c r="F46" s="15" t="inlineStr">
        <is>
          <t>Resistor_SMD:R_0805_2012Metric</t>
        </is>
      </c>
      <c r="G46" s="15" t="inlineStr">
        <is>
          <t>YAGEO</t>
        </is>
      </c>
      <c r="H46" s="15" t="inlineStr">
        <is>
          <t>RC0805FR-0749K9L</t>
        </is>
      </c>
      <c r="I46" s="15" t="inlineStr">
        <is>
          <t>603-RC0805FR-0749K9L</t>
        </is>
      </c>
    </row>
    <row r="47">
      <c r="A47" s="15" t="inlineStr">
        <is>
          <t>L1</t>
        </is>
      </c>
      <c r="B47" s="15" t="inlineStr">
        <is>
          <t>10uH</t>
        </is>
      </c>
      <c r="C47" s="15" t="inlineStr">
        <is>
          <t>SMD</t>
        </is>
      </c>
      <c r="D47" s="15" t="inlineStr">
        <is>
          <t>Stromversorgung.kicad_sch</t>
        </is>
      </c>
      <c r="E47" s="15" t="inlineStr">
        <is>
          <t>Device:L</t>
        </is>
      </c>
      <c r="F47" s="15" t="inlineStr">
        <is>
          <t>Inductor_SMD:L_Bourns_SRN6045TA</t>
        </is>
      </c>
      <c r="G47" s="15" t="inlineStr">
        <is>
          <t>Bourns</t>
        </is>
      </c>
      <c r="H47" s="15" t="inlineStr">
        <is>
          <t>SRN6045TA-100M</t>
        </is>
      </c>
      <c r="I47" s="15" t="inlineStr">
        <is>
          <t>652-SRN6045TA-100M</t>
        </is>
      </c>
    </row>
    <row r="48">
      <c r="A48" s="15" t="inlineStr">
        <is>
          <t>R19</t>
        </is>
      </c>
      <c r="B48" s="15" t="inlineStr">
        <is>
          <t>5,1 kΩ</t>
        </is>
      </c>
      <c r="C48" s="15" t="inlineStr">
        <is>
          <t>SMD</t>
        </is>
      </c>
      <c r="D48" s="15" t="inlineStr">
        <is>
          <t>Stromversorgung.kicad_sch</t>
        </is>
      </c>
      <c r="E48" s="15" t="inlineStr">
        <is>
          <t>Device:R</t>
        </is>
      </c>
      <c r="F48" s="15" t="inlineStr">
        <is>
          <t>Resistor_SMD:R_0805_2012Metric</t>
        </is>
      </c>
      <c r="G48" s="15" t="inlineStr">
        <is>
          <t>YAGEO</t>
        </is>
      </c>
      <c r="H48" s="15" t="inlineStr">
        <is>
          <t>RC0805FR-075K1L</t>
        </is>
      </c>
      <c r="I48" s="15" t="inlineStr">
        <is>
          <t>603-RC0805FR-075K1L</t>
        </is>
      </c>
    </row>
    <row r="49">
      <c r="A49" s="15" t="inlineStr">
        <is>
          <t>R33</t>
        </is>
      </c>
      <c r="B49" s="15" t="inlineStr">
        <is>
          <t>220Ω</t>
        </is>
      </c>
      <c r="C49" s="15" t="inlineStr">
        <is>
          <t>SMD</t>
        </is>
      </c>
      <c r="D49" s="15" t="inlineStr">
        <is>
          <t>ethernet.kicad_sch</t>
        </is>
      </c>
      <c r="E49" s="15" t="inlineStr">
        <is>
          <t>Device:R</t>
        </is>
      </c>
      <c r="F49" s="15" t="inlineStr">
        <is>
          <t>Resistor_SMD:R_0805_2012Metric</t>
        </is>
      </c>
      <c r="G49" s="15" t="inlineStr">
        <is>
          <t>YAGEO</t>
        </is>
      </c>
      <c r="H49" s="15" t="inlineStr">
        <is>
          <t>RC0805FR-07220RL</t>
        </is>
      </c>
      <c r="I49" s="15" t="inlineStr">
        <is>
          <t>603-RC0805FR-07220RL</t>
        </is>
      </c>
    </row>
    <row r="50">
      <c r="A50" s="15" t="inlineStr">
        <is>
          <t>R34</t>
        </is>
      </c>
      <c r="B50" s="15" t="inlineStr">
        <is>
          <t>220Ω</t>
        </is>
      </c>
      <c r="C50" s="15" t="inlineStr">
        <is>
          <t>SMD</t>
        </is>
      </c>
      <c r="D50" s="15" t="inlineStr">
        <is>
          <t>ethernet.kicad_sch</t>
        </is>
      </c>
      <c r="E50" s="15" t="inlineStr">
        <is>
          <t>Device:R</t>
        </is>
      </c>
      <c r="F50" s="15" t="inlineStr">
        <is>
          <t>Resistor_SMD:R_0805_2012Metric</t>
        </is>
      </c>
      <c r="G50" s="15" t="inlineStr">
        <is>
          <t>YAGEO</t>
        </is>
      </c>
      <c r="H50" s="15" t="inlineStr">
        <is>
          <t>RC0805FR-07220RL</t>
        </is>
      </c>
      <c r="I50" s="15" t="inlineStr">
        <is>
          <t>603-RC0805FR-07220RL</t>
        </is>
      </c>
    </row>
    <row r="51">
      <c r="A51" s="15" t="inlineStr">
        <is>
          <t>C16</t>
        </is>
      </c>
      <c r="B51" s="15" t="inlineStr">
        <is>
          <t>100nF</t>
        </is>
      </c>
      <c r="C51" s="15" t="inlineStr">
        <is>
          <t>SMD</t>
        </is>
      </c>
      <c r="D51" s="15" t="inlineStr">
        <is>
          <t>ethernet.kicad_sch</t>
        </is>
      </c>
      <c r="E51" s="15" t="inlineStr">
        <is>
          <t>Device:C</t>
        </is>
      </c>
      <c r="F51" s="15" t="inlineStr">
        <is>
          <t>Capacitor_SMD:C_0805_2012Metric</t>
        </is>
      </c>
      <c r="G51" s="15" t="inlineStr">
        <is>
          <t>YAGEO</t>
        </is>
      </c>
      <c r="H51" s="15" t="inlineStr">
        <is>
          <t>CC0805KRX7R9BB104</t>
        </is>
      </c>
      <c r="I51" s="15" t="inlineStr">
        <is>
          <t>603-CC805KRX7R9BB104</t>
        </is>
      </c>
    </row>
    <row r="52">
      <c r="A52" s="15" t="inlineStr">
        <is>
          <t>FB1</t>
        </is>
      </c>
      <c r="B52" s="15" t="inlineStr">
        <is>
          <t>Ferrit 600R@100MHz</t>
        </is>
      </c>
      <c r="C52" s="15" t="inlineStr">
        <is>
          <t>SMD</t>
        </is>
      </c>
      <c r="D52" s="15" t="inlineStr">
        <is>
          <t>ethernet.kicad_sch</t>
        </is>
      </c>
      <c r="E52" s="15" t="inlineStr">
        <is>
          <t>Device:FerriteBead</t>
        </is>
      </c>
      <c r="F52" s="15" t="inlineStr">
        <is>
          <t>Inductor_SMD:L_0805_2012Metric</t>
        </is>
      </c>
      <c r="G52" s="15" t="inlineStr">
        <is>
          <t>Murata</t>
        </is>
      </c>
      <c r="H52" s="15" t="inlineStr">
        <is>
          <t>BLM21PG601SN1D</t>
        </is>
      </c>
      <c r="I52" s="15" t="inlineStr">
        <is>
          <t>81-BLM21PG601SN1D</t>
        </is>
      </c>
    </row>
    <row r="53">
      <c r="A53" s="15" t="inlineStr">
        <is>
          <t>U7</t>
        </is>
      </c>
      <c r="B53" s="15" t="inlineStr">
        <is>
          <t>W5500</t>
        </is>
      </c>
      <c r="C53" s="15" t="inlineStr">
        <is>
          <t>SMD</t>
        </is>
      </c>
      <c r="D53" s="15" t="inlineStr">
        <is>
          <t>ethernet.kicad_sch</t>
        </is>
      </c>
      <c r="E53" s="15" t="inlineStr">
        <is>
          <t>W5500:W5500</t>
        </is>
      </c>
      <c r="F53" s="15" t="inlineStr">
        <is>
          <t>W5500:48LQFP_W5500_WIZ</t>
        </is>
      </c>
      <c r="G53" s="15" t="inlineStr">
        <is>
          <t>WIZnet</t>
        </is>
      </c>
      <c r="H53" s="15" t="inlineStr">
        <is>
          <t>W5500</t>
        </is>
      </c>
      <c r="I53" s="15" t="inlineStr"/>
    </row>
    <row r="54">
      <c r="A54" s="15" t="inlineStr">
        <is>
          <t>R35</t>
        </is>
      </c>
      <c r="B54" s="15" t="inlineStr">
        <is>
          <t>0Ω</t>
        </is>
      </c>
      <c r="C54" s="15" t="inlineStr">
        <is>
          <t>SMD</t>
        </is>
      </c>
      <c r="D54" s="15" t="inlineStr">
        <is>
          <t>ethernet.kicad_sch</t>
        </is>
      </c>
      <c r="E54" s="15" t="inlineStr">
        <is>
          <t>Device:R</t>
        </is>
      </c>
      <c r="F54" s="15" t="inlineStr">
        <is>
          <t>Resistor_SMD:R_0805_2012Metric</t>
        </is>
      </c>
      <c r="G54" s="15" t="inlineStr">
        <is>
          <t>YAGEO</t>
        </is>
      </c>
      <c r="H54" s="15" t="inlineStr">
        <is>
          <t>RC0805JR-070RL</t>
        </is>
      </c>
      <c r="I54" s="15" t="inlineStr">
        <is>
          <t>603-RC0805JR-070RL</t>
        </is>
      </c>
    </row>
    <row r="55">
      <c r="A55" s="15" t="inlineStr">
        <is>
          <t>R39</t>
        </is>
      </c>
      <c r="B55" s="15" t="inlineStr">
        <is>
          <t>49,9Ω 1%</t>
        </is>
      </c>
      <c r="C55" s="15" t="inlineStr">
        <is>
          <t>SMD</t>
        </is>
      </c>
      <c r="D55" s="15" t="inlineStr">
        <is>
          <t>ethernet.kicad_sch</t>
        </is>
      </c>
      <c r="E55" s="15" t="inlineStr">
        <is>
          <t>Device:R</t>
        </is>
      </c>
      <c r="F55" s="15" t="inlineStr">
        <is>
          <t>Resistor_SMD:R_0805_2012Metric</t>
        </is>
      </c>
      <c r="G55" s="15" t="inlineStr">
        <is>
          <t>YAGEO</t>
        </is>
      </c>
      <c r="H55" s="15" t="inlineStr">
        <is>
          <t>RC0805FR-0749R9L</t>
        </is>
      </c>
      <c r="I55" s="15" t="inlineStr">
        <is>
          <t>603-RC0805FR-0749R9L</t>
        </is>
      </c>
    </row>
    <row r="56">
      <c r="A56" s="15" t="inlineStr">
        <is>
          <t>Y1</t>
        </is>
      </c>
      <c r="B56" s="15" t="inlineStr">
        <is>
          <t>25 MHz</t>
        </is>
      </c>
      <c r="C56" s="15" t="inlineStr">
        <is>
          <t>SMD</t>
        </is>
      </c>
      <c r="D56" s="15" t="inlineStr">
        <is>
          <t>ethernet.kicad_sch</t>
        </is>
      </c>
      <c r="E56" s="15" t="inlineStr">
        <is>
          <t>wuerth_xtal:CFPX-104_830059532</t>
        </is>
      </c>
      <c r="F56" s="15" t="inlineStr">
        <is>
          <t>wuerth_830059532:Y_Wurth_WE-XTAL_Quartz-CFPX-104</t>
        </is>
      </c>
      <c r="G56" s="15" t="inlineStr">
        <is>
          <t>Wurth Elektronik</t>
        </is>
      </c>
      <c r="H56" s="15" t="inlineStr">
        <is>
          <t>830059532</t>
        </is>
      </c>
      <c r="I56" s="15" t="inlineStr">
        <is>
          <t>710-830059532</t>
        </is>
      </c>
    </row>
    <row r="57">
      <c r="A57" s="15" t="inlineStr">
        <is>
          <t>C20</t>
        </is>
      </c>
      <c r="B57" s="15" t="inlineStr">
        <is>
          <t>100nF</t>
        </is>
      </c>
      <c r="C57" s="15" t="inlineStr">
        <is>
          <t>SMD</t>
        </is>
      </c>
      <c r="D57" s="15" t="inlineStr">
        <is>
          <t>ethernet.kicad_sch</t>
        </is>
      </c>
      <c r="E57" s="15" t="inlineStr">
        <is>
          <t>Device:C</t>
        </is>
      </c>
      <c r="F57" s="15" t="inlineStr">
        <is>
          <t>Capacitor_SMD:C_0805_2012Metric</t>
        </is>
      </c>
      <c r="G57" s="15" t="inlineStr">
        <is>
          <t>YAGEO</t>
        </is>
      </c>
      <c r="H57" s="15" t="inlineStr">
        <is>
          <t>CC0805KRX7R9BB104</t>
        </is>
      </c>
      <c r="I57" s="15" t="inlineStr">
        <is>
          <t>603-CC805KRX7R9BB104</t>
        </is>
      </c>
    </row>
    <row r="58">
      <c r="A58" s="15" t="inlineStr">
        <is>
          <t>R40</t>
        </is>
      </c>
      <c r="B58" s="15" t="inlineStr">
        <is>
          <t>49,9Ω 1%</t>
        </is>
      </c>
      <c r="C58" s="15" t="inlineStr">
        <is>
          <t>SMD</t>
        </is>
      </c>
      <c r="D58" s="15" t="inlineStr">
        <is>
          <t>ethernet.kicad_sch</t>
        </is>
      </c>
      <c r="E58" s="15" t="inlineStr">
        <is>
          <t>Device:R</t>
        </is>
      </c>
      <c r="F58" s="15" t="inlineStr">
        <is>
          <t>Resistor_SMD:R_0805_2012Metric</t>
        </is>
      </c>
      <c r="G58" s="15" t="inlineStr">
        <is>
          <t>YAGEO</t>
        </is>
      </c>
      <c r="H58" s="15" t="inlineStr">
        <is>
          <t>RC0805FR-0749R9L</t>
        </is>
      </c>
      <c r="I58" s="15" t="inlineStr">
        <is>
          <t>603-RC0805FR-0749R9L</t>
        </is>
      </c>
    </row>
    <row r="59">
      <c r="A59" s="15" t="inlineStr">
        <is>
          <t>R27</t>
        </is>
      </c>
      <c r="B59" s="15" t="inlineStr">
        <is>
          <t>12,4kΩ, 1%</t>
        </is>
      </c>
      <c r="C59" s="15" t="inlineStr">
        <is>
          <t>SMD</t>
        </is>
      </c>
      <c r="D59" s="15" t="inlineStr">
        <is>
          <t>ethernet.kicad_sch</t>
        </is>
      </c>
      <c r="E59" s="15" t="inlineStr">
        <is>
          <t>Device:R</t>
        </is>
      </c>
      <c r="F59" s="15" t="inlineStr">
        <is>
          <t>Resistor_SMD:R_0805_2012Metric</t>
        </is>
      </c>
      <c r="G59" s="15" t="inlineStr">
        <is>
          <t>YAGEO</t>
        </is>
      </c>
      <c r="H59" s="15" t="inlineStr">
        <is>
          <t>RC0805FR-0712K4L</t>
        </is>
      </c>
      <c r="I59" s="15" t="inlineStr">
        <is>
          <t>603-RC0805FR-0712K4L</t>
        </is>
      </c>
    </row>
    <row r="60">
      <c r="A60" s="15" t="inlineStr">
        <is>
          <t>R32</t>
        </is>
      </c>
      <c r="B60" s="15" t="inlineStr">
        <is>
          <t>10kΩ</t>
        </is>
      </c>
      <c r="C60" s="15" t="inlineStr">
        <is>
          <t>SMD</t>
        </is>
      </c>
      <c r="D60" s="15" t="inlineStr">
        <is>
          <t>ethernet.kicad_sch</t>
        </is>
      </c>
      <c r="E60" s="15" t="inlineStr">
        <is>
          <t>Device:R</t>
        </is>
      </c>
      <c r="F60" s="15" t="inlineStr">
        <is>
          <t>Resistor_SMD:R_0805_2012Metric</t>
        </is>
      </c>
      <c r="G60" s="15" t="inlineStr">
        <is>
          <t>YAGEO</t>
        </is>
      </c>
      <c r="H60" s="15" t="inlineStr">
        <is>
          <t>RC0805FR-0710KL</t>
        </is>
      </c>
      <c r="I60" s="15" t="inlineStr">
        <is>
          <t>603-RC0805FR-0710KL</t>
        </is>
      </c>
    </row>
    <row r="61">
      <c r="A61" s="15" t="inlineStr">
        <is>
          <t>R30</t>
        </is>
      </c>
      <c r="B61" s="15" t="inlineStr">
        <is>
          <t>10kΩ</t>
        </is>
      </c>
      <c r="C61" s="15" t="inlineStr">
        <is>
          <t>SMD</t>
        </is>
      </c>
      <c r="D61" s="15" t="inlineStr">
        <is>
          <t>ethernet.kicad_sch</t>
        </is>
      </c>
      <c r="E61" s="15" t="inlineStr">
        <is>
          <t>Device:R</t>
        </is>
      </c>
      <c r="F61" s="15" t="inlineStr">
        <is>
          <t>Resistor_SMD:R_0805_2012Metric</t>
        </is>
      </c>
      <c r="G61" s="15" t="inlineStr">
        <is>
          <t>YAGEO</t>
        </is>
      </c>
      <c r="H61" s="15" t="inlineStr">
        <is>
          <t>RC0805FR-0710KL</t>
        </is>
      </c>
      <c r="I61" s="15" t="inlineStr">
        <is>
          <t>603-RC0805FR-0710KL</t>
        </is>
      </c>
    </row>
    <row r="62">
      <c r="A62" s="15" t="inlineStr">
        <is>
          <t>R31</t>
        </is>
      </c>
      <c r="B62" s="15" t="inlineStr">
        <is>
          <t>10kΩ</t>
        </is>
      </c>
      <c r="C62" s="15" t="inlineStr">
        <is>
          <t>SMD</t>
        </is>
      </c>
      <c r="D62" s="15" t="inlineStr">
        <is>
          <t>ethernet.kicad_sch</t>
        </is>
      </c>
      <c r="E62" s="15" t="inlineStr">
        <is>
          <t>Device:R</t>
        </is>
      </c>
      <c r="F62" s="15" t="inlineStr">
        <is>
          <t>Resistor_SMD:R_0805_2012Metric</t>
        </is>
      </c>
      <c r="G62" s="15" t="inlineStr">
        <is>
          <t>YAGEO</t>
        </is>
      </c>
      <c r="H62" s="15" t="inlineStr">
        <is>
          <t>RC0805FR-0710KL</t>
        </is>
      </c>
      <c r="I62" s="15" t="inlineStr">
        <is>
          <t>603-RC0805FR-0710KL</t>
        </is>
      </c>
    </row>
    <row r="63">
      <c r="A63" s="15" t="inlineStr">
        <is>
          <t>C24</t>
        </is>
      </c>
      <c r="B63" s="15" t="inlineStr">
        <is>
          <t>10nF</t>
        </is>
      </c>
      <c r="C63" s="15" t="inlineStr">
        <is>
          <t>SMD</t>
        </is>
      </c>
      <c r="D63" s="15" t="inlineStr">
        <is>
          <t>ethernet.kicad_sch</t>
        </is>
      </c>
      <c r="E63" s="15" t="inlineStr">
        <is>
          <t>Device:C</t>
        </is>
      </c>
      <c r="F63" s="15" t="inlineStr">
        <is>
          <t>Capacitor_SMD:C_0805_2012Metric</t>
        </is>
      </c>
      <c r="G63" s="15" t="inlineStr">
        <is>
          <t>YAGEO</t>
        </is>
      </c>
      <c r="H63" s="15" t="inlineStr">
        <is>
          <t>CC0805KRX7R9BB103</t>
        </is>
      </c>
      <c r="I63" s="15" t="inlineStr">
        <is>
          <t>603-CC805KRX7R9BB103</t>
        </is>
      </c>
    </row>
    <row r="64">
      <c r="A64" s="15" t="inlineStr">
        <is>
          <t>T1</t>
        </is>
      </c>
      <c r="B64" s="15" t="inlineStr">
        <is>
          <t>7499011121A</t>
        </is>
      </c>
      <c r="C64" s="15" t="inlineStr">
        <is>
          <t>THT</t>
        </is>
      </c>
      <c r="D64" s="15" t="inlineStr">
        <is>
          <t>ethernet.kicad_sch</t>
        </is>
      </c>
      <c r="E64" s="15" t="inlineStr">
        <is>
          <t>wuerth_rj45:7499011121A</t>
        </is>
      </c>
      <c r="F64" s="15" t="inlineStr">
        <is>
          <t>wuerth_rj45:T_Wurth_WE-RJ45LAN_7499011121A</t>
        </is>
      </c>
      <c r="G64" s="15" t="inlineStr">
        <is>
          <t>Wurth Elektronik</t>
        </is>
      </c>
      <c r="H64" s="15" t="inlineStr">
        <is>
          <t>7499011121A</t>
        </is>
      </c>
      <c r="I64" s="15" t="inlineStr">
        <is>
          <t>710-7499011121A</t>
        </is>
      </c>
    </row>
    <row r="65">
      <c r="A65" s="15" t="inlineStr">
        <is>
          <t>C23</t>
        </is>
      </c>
      <c r="B65" s="15" t="inlineStr">
        <is>
          <t>4,7 µF</t>
        </is>
      </c>
      <c r="C65" s="15" t="inlineStr">
        <is>
          <t>SMD</t>
        </is>
      </c>
      <c r="D65" s="15" t="inlineStr">
        <is>
          <t>ethernet.kicad_sch</t>
        </is>
      </c>
      <c r="E65" s="15" t="inlineStr">
        <is>
          <t>Device:C</t>
        </is>
      </c>
      <c r="F65" s="15" t="inlineStr">
        <is>
          <t>Capacitor_SMD:C_0805_2012Metric</t>
        </is>
      </c>
      <c r="G65" s="15" t="inlineStr">
        <is>
          <t>Samsung</t>
        </is>
      </c>
      <c r="H65" s="15" t="inlineStr">
        <is>
          <t>CL21A475KAQNNNE</t>
        </is>
      </c>
      <c r="I65" s="15" t="inlineStr">
        <is>
          <t>187-CL21A475KAQNNNE</t>
        </is>
      </c>
    </row>
    <row r="66">
      <c r="A66" s="15" t="inlineStr">
        <is>
          <t>C31</t>
        </is>
      </c>
      <c r="B66" s="15" t="inlineStr">
        <is>
          <t>10nF</t>
        </is>
      </c>
      <c r="C66" s="15" t="inlineStr">
        <is>
          <t>SMD</t>
        </is>
      </c>
      <c r="D66" s="15" t="inlineStr">
        <is>
          <t>ethernet.kicad_sch</t>
        </is>
      </c>
      <c r="E66" s="15" t="inlineStr">
        <is>
          <t>Device:C</t>
        </is>
      </c>
      <c r="F66" s="15" t="inlineStr">
        <is>
          <t>Capacitor_SMD:C_0805_2012Metric</t>
        </is>
      </c>
      <c r="G66" s="15" t="inlineStr">
        <is>
          <t>YAGEO</t>
        </is>
      </c>
      <c r="H66" s="15" t="inlineStr">
        <is>
          <t>CC0805KRX7R9BB103</t>
        </is>
      </c>
      <c r="I66" s="15" t="inlineStr">
        <is>
          <t>603-CC805KRX7R9BB103</t>
        </is>
      </c>
    </row>
    <row r="67">
      <c r="A67" s="15" t="inlineStr">
        <is>
          <t>C22</t>
        </is>
      </c>
      <c r="B67" s="15" t="inlineStr">
        <is>
          <t>100nF</t>
        </is>
      </c>
      <c r="C67" s="15" t="inlineStr">
        <is>
          <t>SMD</t>
        </is>
      </c>
      <c r="D67" s="15" t="inlineStr">
        <is>
          <t>ethernet.kicad_sch</t>
        </is>
      </c>
      <c r="E67" s="15" t="inlineStr">
        <is>
          <t>Device:C</t>
        </is>
      </c>
      <c r="F67" s="15" t="inlineStr">
        <is>
          <t>Capacitor_SMD:C_0805_2012Metric</t>
        </is>
      </c>
      <c r="G67" s="15" t="inlineStr">
        <is>
          <t>YAGEO</t>
        </is>
      </c>
      <c r="H67" s="15" t="inlineStr">
        <is>
          <t>CC0805KRX7R9BB104</t>
        </is>
      </c>
      <c r="I67" s="15" t="inlineStr">
        <is>
          <t>603-CC805KRX7R9BB104</t>
        </is>
      </c>
    </row>
    <row r="68">
      <c r="A68" s="15" t="inlineStr">
        <is>
          <t>C30</t>
        </is>
      </c>
      <c r="B68" s="15" t="inlineStr">
        <is>
          <t>6,8nF</t>
        </is>
      </c>
      <c r="C68" s="15" t="inlineStr">
        <is>
          <t>SMD</t>
        </is>
      </c>
      <c r="D68" s="15" t="inlineStr">
        <is>
          <t>ethernet.kicad_sch</t>
        </is>
      </c>
      <c r="E68" s="15" t="inlineStr">
        <is>
          <t>Device:C</t>
        </is>
      </c>
      <c r="F68" s="15" t="inlineStr">
        <is>
          <t>Capacitor_SMD:C_0805_2012Metric</t>
        </is>
      </c>
      <c r="G68" s="15" t="inlineStr">
        <is>
          <t>YAGEO</t>
        </is>
      </c>
      <c r="H68" s="15" t="inlineStr">
        <is>
          <t>CC0805KRX7R9BB682</t>
        </is>
      </c>
      <c r="I68" s="15" t="inlineStr">
        <is>
          <t>603-CC805KRX7R9BB682</t>
        </is>
      </c>
    </row>
    <row r="69">
      <c r="A69" s="15" t="inlineStr">
        <is>
          <t>C25</t>
        </is>
      </c>
      <c r="B69" s="15" t="inlineStr">
        <is>
          <t>27 pF</t>
        </is>
      </c>
      <c r="C69" s="15" t="inlineStr">
        <is>
          <t>SMD</t>
        </is>
      </c>
      <c r="D69" s="15" t="inlineStr">
        <is>
          <t>ethernet.kicad_sch</t>
        </is>
      </c>
      <c r="E69" s="15" t="inlineStr">
        <is>
          <t>Device:C</t>
        </is>
      </c>
      <c r="F69" s="15" t="inlineStr">
        <is>
          <t>Capacitor_SMD:C_0805_2012Metric</t>
        </is>
      </c>
      <c r="G69" s="15" t="inlineStr">
        <is>
          <t>YAGEO</t>
        </is>
      </c>
      <c r="H69" s="15" t="inlineStr">
        <is>
          <t>CC0805JRNPO9BN270</t>
        </is>
      </c>
      <c r="I69" s="15" t="inlineStr">
        <is>
          <t>603-CC805JRNPO9BN270</t>
        </is>
      </c>
    </row>
    <row r="70">
      <c r="A70" s="15" t="inlineStr">
        <is>
          <t>R28</t>
        </is>
      </c>
      <c r="B70" s="15" t="inlineStr">
        <is>
          <t>10kΩ</t>
        </is>
      </c>
      <c r="C70" s="15" t="inlineStr">
        <is>
          <t>SMD</t>
        </is>
      </c>
      <c r="D70" s="15" t="inlineStr">
        <is>
          <t>ethernet.kicad_sch</t>
        </is>
      </c>
      <c r="E70" s="15" t="inlineStr">
        <is>
          <t>Device:R</t>
        </is>
      </c>
      <c r="F70" s="15" t="inlineStr">
        <is>
          <t>Resistor_SMD:R_0805_2012Metric</t>
        </is>
      </c>
      <c r="G70" s="15" t="inlineStr">
        <is>
          <t>YAGEO</t>
        </is>
      </c>
      <c r="H70" s="15" t="inlineStr">
        <is>
          <t>RC0805FR-0710KL</t>
        </is>
      </c>
      <c r="I70" s="15" t="inlineStr">
        <is>
          <t>603-RC0805FR-0710KL</t>
        </is>
      </c>
    </row>
    <row r="71">
      <c r="A71" s="15" t="inlineStr">
        <is>
          <t>R36</t>
        </is>
      </c>
      <c r="B71" s="15" t="inlineStr">
        <is>
          <t>49,9Ω 1%</t>
        </is>
      </c>
      <c r="C71" s="15" t="inlineStr">
        <is>
          <t>SMD</t>
        </is>
      </c>
      <c r="D71" s="15" t="inlineStr">
        <is>
          <t>ethernet.kicad_sch</t>
        </is>
      </c>
      <c r="E71" s="15" t="inlineStr">
        <is>
          <t>Device:R</t>
        </is>
      </c>
      <c r="F71" s="15" t="inlineStr">
        <is>
          <t>Resistor_SMD:R_0805_2012Metric</t>
        </is>
      </c>
      <c r="G71" s="15" t="inlineStr">
        <is>
          <t>YAGEO</t>
        </is>
      </c>
      <c r="H71" s="15" t="inlineStr">
        <is>
          <t>RC0805FR-0749R9L</t>
        </is>
      </c>
      <c r="I71" s="15" t="inlineStr">
        <is>
          <t>603-RC0805FR-0749R9L</t>
        </is>
      </c>
    </row>
    <row r="72">
      <c r="A72" s="15" t="inlineStr">
        <is>
          <t>R37</t>
        </is>
      </c>
      <c r="B72" s="15" t="inlineStr">
        <is>
          <t>49,9Ω 1%</t>
        </is>
      </c>
      <c r="C72" s="15" t="inlineStr">
        <is>
          <t>SMD</t>
        </is>
      </c>
      <c r="D72" s="15" t="inlineStr">
        <is>
          <t>ethernet.kicad_sch</t>
        </is>
      </c>
      <c r="E72" s="15" t="inlineStr">
        <is>
          <t>Device:R</t>
        </is>
      </c>
      <c r="F72" s="15" t="inlineStr">
        <is>
          <t>Resistor_SMD:R_0805_2012Metric</t>
        </is>
      </c>
      <c r="G72" s="15" t="inlineStr">
        <is>
          <t>YAGEO</t>
        </is>
      </c>
      <c r="H72" s="15" t="inlineStr">
        <is>
          <t>RC0805FR-0749R9L</t>
        </is>
      </c>
      <c r="I72" s="15" t="inlineStr">
        <is>
          <t>603-RC0805FR-0749R9L</t>
        </is>
      </c>
    </row>
    <row r="73">
      <c r="A73" s="15" t="inlineStr">
        <is>
          <t>R38</t>
        </is>
      </c>
      <c r="B73" s="15" t="inlineStr">
        <is>
          <t>10Ω 1%</t>
        </is>
      </c>
      <c r="C73" s="15" t="inlineStr">
        <is>
          <t>SMD</t>
        </is>
      </c>
      <c r="D73" s="15" t="inlineStr">
        <is>
          <t>ethernet.kicad_sch</t>
        </is>
      </c>
      <c r="E73" s="15" t="inlineStr">
        <is>
          <t>Device:R</t>
        </is>
      </c>
      <c r="F73" s="15" t="inlineStr">
        <is>
          <t>Resistor_SMD:R_0805_2012Metric</t>
        </is>
      </c>
      <c r="G73" s="15" t="inlineStr">
        <is>
          <t>YAGEO</t>
        </is>
      </c>
      <c r="H73" s="15" t="inlineStr">
        <is>
          <t>RC0805FR-0710RL</t>
        </is>
      </c>
      <c r="I73" s="15" t="inlineStr">
        <is>
          <t>603-RC0805FR-0710RL</t>
        </is>
      </c>
    </row>
    <row r="74">
      <c r="A74" s="15" t="inlineStr">
        <is>
          <t>R29</t>
        </is>
      </c>
      <c r="B74" s="15" t="inlineStr">
        <is>
          <t>10kΩ</t>
        </is>
      </c>
      <c r="C74" s="15" t="inlineStr">
        <is>
          <t>SMD</t>
        </is>
      </c>
      <c r="D74" s="15" t="inlineStr">
        <is>
          <t>ethernet.kicad_sch</t>
        </is>
      </c>
      <c r="E74" s="15" t="inlineStr">
        <is>
          <t>Device:R</t>
        </is>
      </c>
      <c r="F74" s="15" t="inlineStr">
        <is>
          <t>Resistor_SMD:R_0805_2012Metric</t>
        </is>
      </c>
      <c r="G74" s="15" t="inlineStr">
        <is>
          <t>YAGEO</t>
        </is>
      </c>
      <c r="H74" s="15" t="inlineStr">
        <is>
          <t>RC0805FR-0710KL</t>
        </is>
      </c>
      <c r="I74" s="15" t="inlineStr">
        <is>
          <t>603-RC0805FR-0710KL</t>
        </is>
      </c>
    </row>
    <row r="75">
      <c r="A75" s="15" t="inlineStr">
        <is>
          <t>C32</t>
        </is>
      </c>
      <c r="B75" s="15" t="inlineStr">
        <is>
          <t>22nF</t>
        </is>
      </c>
      <c r="C75" s="15" t="inlineStr">
        <is>
          <t>SMD</t>
        </is>
      </c>
      <c r="D75" s="15" t="inlineStr">
        <is>
          <t>ethernet.kicad_sch</t>
        </is>
      </c>
      <c r="E75" s="15" t="inlineStr">
        <is>
          <t>Device:C</t>
        </is>
      </c>
      <c r="F75" s="15" t="inlineStr">
        <is>
          <t>Capacitor_SMD:C_0805_2012Metric</t>
        </is>
      </c>
      <c r="G75" s="15" t="inlineStr">
        <is>
          <t>Samsung</t>
        </is>
      </c>
      <c r="H75" s="15" t="inlineStr">
        <is>
          <t>CL21B223KBANNNC</t>
        </is>
      </c>
      <c r="I75" s="15" t="inlineStr">
        <is>
          <t>187-CL21B223KBANNNC</t>
        </is>
      </c>
    </row>
    <row r="76">
      <c r="A76" s="15" t="inlineStr">
        <is>
          <t>C26</t>
        </is>
      </c>
      <c r="B76" s="15" t="inlineStr">
        <is>
          <t>27 pF</t>
        </is>
      </c>
      <c r="C76" s="15" t="inlineStr">
        <is>
          <t>SMD</t>
        </is>
      </c>
      <c r="D76" s="15" t="inlineStr">
        <is>
          <t>ethernet.kicad_sch</t>
        </is>
      </c>
      <c r="E76" s="15" t="inlineStr">
        <is>
          <t>Device:C</t>
        </is>
      </c>
      <c r="F76" s="15" t="inlineStr">
        <is>
          <t>Capacitor_SMD:C_0805_2012Metric</t>
        </is>
      </c>
      <c r="G76" s="15" t="inlineStr">
        <is>
          <t>YAGEO</t>
        </is>
      </c>
      <c r="H76" s="15" t="inlineStr">
        <is>
          <t>CC0805JRNPO9BN270</t>
        </is>
      </c>
      <c r="I76" s="15" t="inlineStr">
        <is>
          <t>603-CC805JRNPO9BN270</t>
        </is>
      </c>
    </row>
    <row r="77">
      <c r="A77" s="15" t="inlineStr">
        <is>
          <t>C29</t>
        </is>
      </c>
      <c r="B77" s="15" t="inlineStr">
        <is>
          <t>6,8nF</t>
        </is>
      </c>
      <c r="C77" s="15" t="inlineStr">
        <is>
          <t>SMD</t>
        </is>
      </c>
      <c r="D77" s="15" t="inlineStr">
        <is>
          <t>ethernet.kicad_sch</t>
        </is>
      </c>
      <c r="E77" s="15" t="inlineStr">
        <is>
          <t>Device:C</t>
        </is>
      </c>
      <c r="F77" s="15" t="inlineStr">
        <is>
          <t>Capacitor_SMD:C_0805_2012Metric</t>
        </is>
      </c>
      <c r="G77" s="15" t="inlineStr">
        <is>
          <t>YAGEO</t>
        </is>
      </c>
      <c r="H77" s="15" t="inlineStr">
        <is>
          <t>CC0805KRX7R9BB682</t>
        </is>
      </c>
      <c r="I77" s="15" t="inlineStr">
        <is>
          <t>603-CC805KRX7R9BB682</t>
        </is>
      </c>
    </row>
    <row r="78">
      <c r="A78" s="15" t="inlineStr">
        <is>
          <t>C19</t>
        </is>
      </c>
      <c r="B78" s="15" t="inlineStr">
        <is>
          <t>100nF</t>
        </is>
      </c>
      <c r="C78" s="15" t="inlineStr">
        <is>
          <t>SMD</t>
        </is>
      </c>
      <c r="D78" s="15" t="inlineStr">
        <is>
          <t>ethernet.kicad_sch</t>
        </is>
      </c>
      <c r="E78" s="15" t="inlineStr">
        <is>
          <t>Device:C</t>
        </is>
      </c>
      <c r="F78" s="15" t="inlineStr">
        <is>
          <t>Capacitor_SMD:C_0805_2012Metric</t>
        </is>
      </c>
      <c r="G78" s="15" t="inlineStr">
        <is>
          <t>YAGEO</t>
        </is>
      </c>
      <c r="H78" s="15" t="inlineStr">
        <is>
          <t>CC0805KRX7R9BB104</t>
        </is>
      </c>
      <c r="I78" s="15" t="inlineStr">
        <is>
          <t>603-CC805KRX7R9BB104</t>
        </is>
      </c>
    </row>
    <row r="79">
      <c r="A79" s="15" t="inlineStr">
        <is>
          <t>C27</t>
        </is>
      </c>
      <c r="B79" s="15" t="inlineStr">
        <is>
          <t>10 µF</t>
        </is>
      </c>
      <c r="C79" s="15" t="inlineStr">
        <is>
          <t>SMD</t>
        </is>
      </c>
      <c r="D79" s="15" t="inlineStr">
        <is>
          <t>ethernet.kicad_sch</t>
        </is>
      </c>
      <c r="E79" s="15" t="inlineStr">
        <is>
          <t>Device:C</t>
        </is>
      </c>
      <c r="F79" s="15" t="inlineStr">
        <is>
          <t>Capacitor_SMD:C_0805_2012Metric</t>
        </is>
      </c>
      <c r="G79" s="15" t="inlineStr">
        <is>
          <t>Samsung</t>
        </is>
      </c>
      <c r="H79" s="15" t="inlineStr">
        <is>
          <t>CL21B106KOQNNNE</t>
        </is>
      </c>
      <c r="I79" s="15" t="inlineStr">
        <is>
          <t>187-CL21B106KOQNNNE</t>
        </is>
      </c>
    </row>
    <row r="80">
      <c r="A80" s="15" t="inlineStr">
        <is>
          <t>C18</t>
        </is>
      </c>
      <c r="B80" s="15" t="inlineStr">
        <is>
          <t>100nF</t>
        </is>
      </c>
      <c r="C80" s="15" t="inlineStr">
        <is>
          <t>SMD</t>
        </is>
      </c>
      <c r="D80" s="15" t="inlineStr">
        <is>
          <t>ethernet.kicad_sch</t>
        </is>
      </c>
      <c r="E80" s="15" t="inlineStr">
        <is>
          <t>Device:C</t>
        </is>
      </c>
      <c r="F80" s="15" t="inlineStr">
        <is>
          <t>Capacitor_SMD:C_0805_2012Metric</t>
        </is>
      </c>
      <c r="G80" s="15" t="inlineStr">
        <is>
          <t>YAGEO</t>
        </is>
      </c>
      <c r="H80" s="15" t="inlineStr">
        <is>
          <t>CC0805KRX7R9BB104</t>
        </is>
      </c>
      <c r="I80" s="15" t="inlineStr">
        <is>
          <t>603-CC805KRX7R9BB104</t>
        </is>
      </c>
    </row>
    <row r="81">
      <c r="A81" s="15" t="inlineStr">
        <is>
          <t>C21</t>
        </is>
      </c>
      <c r="B81" s="15" t="inlineStr">
        <is>
          <t>100nF</t>
        </is>
      </c>
      <c r="C81" s="15" t="inlineStr">
        <is>
          <t>SMD</t>
        </is>
      </c>
      <c r="D81" s="15" t="inlineStr">
        <is>
          <t>ethernet.kicad_sch</t>
        </is>
      </c>
      <c r="E81" s="15" t="inlineStr">
        <is>
          <t>Device:C</t>
        </is>
      </c>
      <c r="F81" s="15" t="inlineStr">
        <is>
          <t>Capacitor_SMD:C_0805_2012Metric</t>
        </is>
      </c>
      <c r="G81" s="15" t="inlineStr">
        <is>
          <t>YAGEO</t>
        </is>
      </c>
      <c r="H81" s="15" t="inlineStr">
        <is>
          <t>CC0805KRX7R9BB104</t>
        </is>
      </c>
      <c r="I81" s="15" t="inlineStr">
        <is>
          <t>603-CC805KRX7R9BB104</t>
        </is>
      </c>
    </row>
    <row r="82">
      <c r="A82" s="15" t="inlineStr">
        <is>
          <t>C17</t>
        </is>
      </c>
      <c r="B82" s="15" t="inlineStr">
        <is>
          <t>100nF</t>
        </is>
      </c>
      <c r="C82" s="15" t="inlineStr">
        <is>
          <t>SMD</t>
        </is>
      </c>
      <c r="D82" s="15" t="inlineStr">
        <is>
          <t>ethernet.kicad_sch</t>
        </is>
      </c>
      <c r="E82" s="15" t="inlineStr">
        <is>
          <t>Device:C</t>
        </is>
      </c>
      <c r="F82" s="15" t="inlineStr">
        <is>
          <t>Capacitor_SMD:C_0805_2012Metric</t>
        </is>
      </c>
      <c r="G82" s="15" t="inlineStr">
        <is>
          <t>YAGEO</t>
        </is>
      </c>
      <c r="H82" s="15" t="inlineStr">
        <is>
          <t>CC0805KRX7R9BB104</t>
        </is>
      </c>
      <c r="I82" s="15" t="inlineStr">
        <is>
          <t>603-CC805KRX7R9BB104</t>
        </is>
      </c>
    </row>
    <row r="83">
      <c r="A83" s="15" t="inlineStr">
        <is>
          <t>C28</t>
        </is>
      </c>
      <c r="B83" s="15" t="inlineStr">
        <is>
          <t>1nF/2kV</t>
        </is>
      </c>
      <c r="C83" s="15" t="inlineStr">
        <is>
          <t>SMD</t>
        </is>
      </c>
      <c r="D83" s="15" t="inlineStr">
        <is>
          <t>ethernet.kicad_sch</t>
        </is>
      </c>
      <c r="E83" s="15" t="inlineStr">
        <is>
          <t>Device:C</t>
        </is>
      </c>
      <c r="F83" s="15" t="inlineStr">
        <is>
          <t>Capacitor_SMD:C_1206_3216Metric</t>
        </is>
      </c>
      <c r="G83" s="15" t="inlineStr">
        <is>
          <t>KEMET</t>
        </is>
      </c>
      <c r="H83" s="15" t="inlineStr">
        <is>
          <t>C1206C102KGRACTU</t>
        </is>
      </c>
      <c r="I83" s="15" t="inlineStr">
        <is>
          <t>80-C1206C102KGR</t>
        </is>
      </c>
    </row>
  </sheetData>
  <autoFilter ref="A5:I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5" topLeftCell="A6" activePane="bottomLeft" state="frozen"/>
      <selection pane="bottomLeft" activeCell="A1" sqref="A1"/>
    </sheetView>
  </sheetViews>
  <sheetFormatPr baseColWidth="8" defaultRowHeight="15"/>
  <cols>
    <col width="5" customWidth="1" min="1" max="1"/>
    <col width="34" customWidth="1" min="2" max="2"/>
    <col width="52" customWidth="1" min="3" max="3"/>
    <col width="62" customWidth="1" min="4" max="4"/>
    <col width="16" customWidth="1" min="5" max="5"/>
  </cols>
  <sheetData>
    <row r="1">
      <c r="A1" s="1" t="inlineStr">
        <is>
          <t>Offene Punkte vor der Bestellung</t>
        </is>
      </c>
    </row>
    <row r="2">
      <c r="A2" t="inlineStr">
        <is>
          <t>Stand 2026-09-29 · Der Schaltplan ist elektrisch fertig (ERC 0 Fehler).</t>
        </is>
      </c>
    </row>
    <row r="3">
      <c r="A3" s="2" t="inlineStr">
        <is>
          <t>Diese Punkte betreffen ausschließlich die Beschaffung, nicht die Funktion.</t>
        </is>
      </c>
    </row>
    <row r="5">
      <c r="A5" s="3" t="inlineStr">
        <is>
          <t>Nr</t>
        </is>
      </c>
      <c r="B5" s="3" t="inlineStr">
        <is>
          <t>Betrifft</t>
        </is>
      </c>
      <c r="C5" s="3" t="inlineStr">
        <is>
          <t>Punkt</t>
        </is>
      </c>
      <c r="D5" s="3" t="inlineStr">
        <is>
          <t>Warum es zählt</t>
        </is>
      </c>
      <c r="E5" s="3" t="inlineStr">
        <is>
          <t>Wer entscheidet</t>
        </is>
      </c>
    </row>
    <row r="6">
      <c r="A6" s="4" t="n">
        <v>1</v>
      </c>
      <c r="B6" s="5" t="inlineStr">
        <is>
          <t>4 Positionen nur bei einem Anbieter</t>
        </is>
      </c>
      <c r="C6" s="5" t="inlineStr">
        <is>
          <t>C23 (nur Mouser); C25, C26 (nur Mouser); FB1 (nur DigiKey); R19, R20, R21, R22 (nur Mouser)</t>
        </is>
      </c>
      <c r="D6" s="5" t="inlineStr">
        <is>
          <t>Kein Ausweichen möglich, falls der Anbieter ausverkauft ist. Beim Wechsel auf ein breiter verfügbares Teil den Footprint im Blick behalten.</t>
        </is>
      </c>
      <c r="E6" s="4" t="inlineStr">
        <is>
          <t>Bediener</t>
        </is>
      </c>
    </row>
    <row r="7">
      <c r="A7" s="4" t="n">
        <v>2</v>
      </c>
      <c r="B7" s="5" t="inlineStr">
        <is>
          <t>D7–D10 (LEDs): zwei Würth-Serien</t>
        </is>
      </c>
      <c r="C7" s="5" t="inlineStr">
        <is>
          <t>D7/D10 sind WL-TMRC (eingefärbt, diffus), D8/D9 WL-TMRW (wasserklar).</t>
        </is>
      </c>
      <c r="D7" s="5" t="inlineStr">
        <is>
          <t>Elektrisch gleichwertig, optisch nicht: wasserklare LEDs strahlen gerichteter und wirken bei gleichem Strom heller. Für ein einheitliches Erscheinungsbild eine Serie wählen — beide Footprints sind seit SHBS-16 gleich nummeriert (1 = K, 2 = A).</t>
        </is>
      </c>
      <c r="E7" s="4" t="inlineStr">
        <is>
          <t>Bediener</t>
        </is>
      </c>
    </row>
    <row r="8">
      <c r="A8" s="4" t="n">
        <v>3</v>
      </c>
      <c r="B8" s="5" t="inlineStr">
        <is>
          <t>Mischbestückung THT / SMD (22 bedrahtete Teile)</t>
        </is>
      </c>
      <c r="C8" s="5" t="inlineStr">
        <is>
          <t>Bedrahtet: D7, D8, D9, D10, J1, J6, J_PWR1, Q1, Q2, Q3, Q4, R9, R13, R14, R15, R16, R23, R24, R25, R26, S2, T1.</t>
        </is>
      </c>
      <c r="D8" s="5" t="inlineStr">
        <is>
          <t>Bedrahtete Teile erzwingen einen zweiten Bestückungsdurchlauf und verteuern die Fertigung spürbar. R13–R16 und R23–R26 sitzen zudem im Footprint DIN0617 (17 mm, 2-W-Klasse) — für 220 Ω und 4,7 kΩ in einer Signalfunktion überdimensioniert. Bei den LEDs und Steckverbindern ist THT bewusst gewählt; zu prüfen ist vor allem, ob Q1–Q4 und die Widerstände SMD werden können.</t>
        </is>
      </c>
      <c r="E8" s="4" t="inlineStr">
        <is>
          <t>Bediener</t>
        </is>
      </c>
    </row>
    <row r="9">
      <c r="A9" s="4" t="n">
        <v>4</v>
      </c>
      <c r="B9" s="5" t="inlineStr">
        <is>
          <t>Preise sind Tagespreise</t>
        </is>
      </c>
      <c r="C9" s="5" t="inlineStr">
        <is>
          <t>Die grün hinterlegten Einzelpreise stammen aus der Mouser- und der DigiKey-API zum Stand oben.</t>
        </is>
      </c>
      <c r="D9" s="5" t="inlineStr">
        <is>
          <t>Sie sind unverbindlich, gelten für die Staffel passend zur Menge einer Baugruppe und verstehen sich ohne Zoll, Versand und Steuer. Für ein Angebot neu abfragen.</t>
        </is>
      </c>
      <c r="E9" s="4" t="inlineStr">
        <is>
          <t>Bediener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2026-09-29T10:25:57Z</dcterms:created>
  <dcterms:modified xsi:type="dcterms:W3CDTF">2026-09-29T10:25:57Z</dcterms:modified>
</cp:coreProperties>
</file>