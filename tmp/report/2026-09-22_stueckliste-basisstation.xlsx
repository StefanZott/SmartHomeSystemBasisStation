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ückliste" sheetId="1" state="visible" r:id="rId1"/>
    <sheet name="Einzelpositionen" sheetId="2" state="visible" r:id="rId2"/>
    <sheet name="Offene Punkte" sheetId="3" state="visible" r:id="rId3"/>
  </sheets>
  <definedNames>
    <definedName name="_xlnm._FilterDatabase" localSheetId="0" hidden="1">'Stückliste'!$A$5:$P$52</definedName>
    <definedName name="_xlnm._FilterDatabase" localSheetId="1" hidden="1">'Einzelpositionen'!$A$4:$J$82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9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595959"/>
      <sz val="9"/>
    </font>
    <font>
      <name val="Arial"/>
      <i val="1"/>
      <color rgb="00C00000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color rgb="00404040"/>
      <sz val="9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/>
    </xf>
    <xf numFmtId="0" fontId="7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164" fontId="6" fillId="3" borderId="1" applyAlignment="1" pivotButton="0" quotePrefix="0" xfId="0">
      <alignment horizontal="left" vertical="top"/>
    </xf>
    <xf numFmtId="164" fontId="6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horizontal="left" vertical="top"/>
    </xf>
    <xf numFmtId="0" fontId="0" fillId="4" borderId="1" applyAlignment="1" pivotButton="0" quotePrefix="0" xfId="0">
      <alignment horizontal="center" vertical="top"/>
    </xf>
    <xf numFmtId="0" fontId="0" fillId="5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8" fillId="0" borderId="1" pivotButton="0" quotePrefix="0" xfId="0"/>
    <xf numFmtId="164" fontId="8" fillId="0" borderId="1" pivotButton="0" quotePrefix="0" xfId="0"/>
    <xf numFmtId="0" fontId="7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ouser.de/c/?q=CAB.6061" TargetMode="External" Id="rId1" /><Relationship Type="http://schemas.openxmlformats.org/officeDocument/2006/relationships/hyperlink" Target="https://www.mouser.de/c/?q=GW.20.5150" TargetMode="External" Id="rId2" /><Relationship Type="http://schemas.openxmlformats.org/officeDocument/2006/relationships/hyperlink" Target="https://www.mouser.de/c/?q=890334023023" TargetMode="External" Id="rId3" /><Relationship Type="http://schemas.openxmlformats.org/officeDocument/2006/relationships/hyperlink" Target="https://www.mouser.de/c/?q=870235673001" TargetMode="External" Id="rId4" /><Relationship Type="http://schemas.openxmlformats.org/officeDocument/2006/relationships/hyperlink" Target="https://www.mouser.de/c/?q=151031YS05900" TargetMode="External" Id="rId5" /><Relationship Type="http://schemas.openxmlformats.org/officeDocument/2006/relationships/hyperlink" Target="https://www.mouser.de/c/?q=WL-TMRW%203%20mm" TargetMode="External" Id="rId6" /><Relationship Type="http://schemas.openxmlformats.org/officeDocument/2006/relationships/hyperlink" Target="https://www.mouser.de/c/?q=WL-TMRW%203%20mm" TargetMode="External" Id="rId7" /><Relationship Type="http://schemas.openxmlformats.org/officeDocument/2006/relationships/hyperlink" Target="https://www.mouser.de/c/?q=WL-TMRC%203%20mm" TargetMode="External" Id="rId8" /><Relationship Type="http://schemas.openxmlformats.org/officeDocument/2006/relationships/hyperlink" Target="https://www.mouser.de/c/?q=SS34" TargetMode="External" Id="rId9" /><Relationship Type="http://schemas.openxmlformats.org/officeDocument/2006/relationships/hyperlink" Target="https://www.vishay.com/docs/88751/ss32.pdf" TargetMode="External" Id="rId10" /><Relationship Type="http://schemas.openxmlformats.org/officeDocument/2006/relationships/hyperlink" Target="https://www.mouser.de/c/?q=SMAJ5.0A" TargetMode="External" Id="rId11" /><Relationship Type="http://schemas.openxmlformats.org/officeDocument/2006/relationships/hyperlink" Target="https://www.littelfuse.com/media?resourcetype=datasheets&amp;itemid=75e32973-b177-4ee3-a0ff-cedaf1abdb93&amp;filename=smaj-datasheet" TargetMode="External" Id="rId12" /><Relationship Type="http://schemas.openxmlformats.org/officeDocument/2006/relationships/hyperlink" Target="https://www.mouser.de/c/?q=12401548E4-2A" TargetMode="External" Id="rId13" /><Relationship Type="http://schemas.openxmlformats.org/officeDocument/2006/relationships/hyperlink" Target="https://www.usb.org/sites/default/files/documents/usb_type-c.zip" TargetMode="External" Id="rId14" /><Relationship Type="http://schemas.openxmlformats.org/officeDocument/2006/relationships/hyperlink" Target="https://www.mouser.de/c/?q=61200621621" TargetMode="External" Id="rId15" /><Relationship Type="http://schemas.openxmlformats.org/officeDocument/2006/relationships/hyperlink" Target="https://www.mouser.de/c/?q=12401548E4-2A" TargetMode="External" Id="rId16" /><Relationship Type="http://schemas.openxmlformats.org/officeDocument/2006/relationships/hyperlink" Target="https://www.amphenol-cs.com/products/usb/type-c" TargetMode="External" Id="rId17" /><Relationship Type="http://schemas.openxmlformats.org/officeDocument/2006/relationships/hyperlink" Target="https://www.mouser.de/c/?q=SRN6045TA" TargetMode="External" Id="rId18" /><Relationship Type="http://schemas.openxmlformats.org/officeDocument/2006/relationships/hyperlink" Target="https://www.mouser.de/c/?q=MP2359DJ" TargetMode="External" Id="rId19" /><Relationship Type="http://schemas.openxmlformats.org/officeDocument/2006/relationships/hyperlink" Target="https://www.monolithicpower.com/en/documentview/productdocument/index/version/2/document_type/Datasheet/lang/en/sku/MP2359/document_id/90" TargetMode="External" Id="rId20" /><Relationship Type="http://schemas.openxmlformats.org/officeDocument/2006/relationships/hyperlink" Target="https://www.mouser.de/c/?q=BC337" TargetMode="External" Id="rId21" /><Relationship Type="http://schemas.openxmlformats.org/officeDocument/2006/relationships/hyperlink" Target="https://diotec.com/tl_files/diotec/files/pdf/datasheets/bc337.pdf" TargetMode="External" Id="rId22" /><Relationship Type="http://schemas.openxmlformats.org/officeDocument/2006/relationships/hyperlink" Target="https://www.mouser.de/c/?q=1543-650-149" TargetMode="External" Id="rId23" /><Relationship Type="http://schemas.openxmlformats.org/officeDocument/2006/relationships/hyperlink" Target="https://www.mouser.de/c/?q=7499011121A" TargetMode="External" Id="rId24" /><Relationship Type="http://schemas.openxmlformats.org/officeDocument/2006/relationships/hyperlink" Target="https://www.we-online.com/catalog/datasheet/7499011121A.pdf?ki" TargetMode="External" Id="rId25" /><Relationship Type="http://schemas.openxmlformats.org/officeDocument/2006/relationships/hyperlink" Target="https://www.mouser.de/c/?q=D3V3XA4B10LP" TargetMode="External" Id="rId26" /><Relationship Type="http://schemas.openxmlformats.org/officeDocument/2006/relationships/hyperlink" Target="https://www.diodes.com/assets/Datasheets/D3V3XA4B10LP.pdf" TargetMode="External" Id="rId27" /><Relationship Type="http://schemas.openxmlformats.org/officeDocument/2006/relationships/hyperlink" Target="https://www.mouser.de/c/?q=ESP32-S3-WROOM-1U-N16R8" TargetMode="External" Id="rId28" /><Relationship Type="http://schemas.openxmlformats.org/officeDocument/2006/relationships/hyperlink" Target="https://www.espressif.com/sites/default/files/documentation/esp32-s3-wroom-1_wroom-1u_datasheet_en.pdf" TargetMode="External" Id="rId29" /><Relationship Type="http://schemas.openxmlformats.org/officeDocument/2006/relationships/hyperlink" Target="https://www.mouser.de/c/?q=W5500" TargetMode="External" Id="rId30" /><Relationship Type="http://schemas.openxmlformats.org/officeDocument/2006/relationships/hyperlink" Target="https://docs.wiznet.io/img/products/w5500/W5500_ds_v110e.pdf" TargetMode="External" Id="rId31" /><Relationship Type="http://schemas.openxmlformats.org/officeDocument/2006/relationships/hyperlink" Target="https://www.we-online.com/catalog/datasheet/830059532.pdf?ki" TargetMode="External" Id="rId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26" customWidth="1" min="3" max="3"/>
    <col width="20" customWidth="1" min="4" max="4"/>
    <col width="8" customWidth="1" min="5" max="5"/>
    <col width="40" customWidth="1" min="6" max="6"/>
    <col width="46" customWidth="1" min="7" max="7"/>
    <col width="24" customWidth="1" min="8" max="8"/>
    <col width="24" customWidth="1" min="9" max="9"/>
    <col width="18" customWidth="1" min="10" max="10"/>
    <col width="15" customWidth="1" min="11" max="11"/>
    <col width="15" customWidth="1" min="12" max="12"/>
    <col width="14" customWidth="1" min="13" max="13"/>
    <col width="12" customWidth="1" min="14" max="14"/>
    <col width="14" customWidth="1" min="15" max="15"/>
    <col width="52" customWidth="1" min="16" max="16"/>
  </cols>
  <sheetData>
    <row r="1">
      <c r="A1" s="1" t="inlineStr">
        <is>
          <t>Stückliste SmartHome-Basisstation</t>
        </is>
      </c>
    </row>
    <row r="2">
      <c r="A2" s="2" t="inlineStr">
        <is>
          <t>Quelle: pcb/BasisStation/BasisStation.kicad_sch · Stand 2026-09-22 · ERC 0 Fehler / 0 Warnungen · 102 Netze</t>
        </is>
      </c>
    </row>
    <row r="3">
      <c r="A3" s="3" t="inlineStr">
        <is>
          <t>Gelb hinterlegte Spalten (Mouser-Teilenr., Einzelpreis) sind von Hand zu füllen. Gesamtpreis und Summe rechnen sich daraus.</t>
        </is>
      </c>
    </row>
    <row r="5" ht="30" customHeight="1">
      <c r="A5" s="4" t="inlineStr">
        <is>
          <t>Pos</t>
        </is>
      </c>
      <c r="B5" s="4" t="inlineStr">
        <is>
          <t>Menge</t>
        </is>
      </c>
      <c r="C5" s="4" t="inlineStr">
        <is>
          <t>Referenzen</t>
        </is>
      </c>
      <c r="D5" s="4" t="inlineStr">
        <is>
          <t>Wert (Schaltplan)</t>
        </is>
      </c>
      <c r="E5" s="4" t="inlineStr">
        <is>
          <t>Technik</t>
        </is>
      </c>
      <c r="F5" s="4" t="inlineStr">
        <is>
          <t>Symbol (lib_id)</t>
        </is>
      </c>
      <c r="G5" s="4" t="inlineStr">
        <is>
          <t>Footprint</t>
        </is>
      </c>
      <c r="H5" s="4" t="inlineStr">
        <is>
          <t>Hersteller</t>
        </is>
      </c>
      <c r="I5" s="4" t="inlineStr">
        <is>
          <t>Hersteller-Teilenr.</t>
        </is>
      </c>
      <c r="J5" s="4" t="inlineStr">
        <is>
          <t>Mouser-Teilenr.</t>
        </is>
      </c>
      <c r="K5" s="4" t="inlineStr">
        <is>
          <t>Einzelpreis EUR</t>
        </is>
      </c>
      <c r="L5" s="4" t="inlineStr">
        <is>
          <t>Gesamtpreis EUR</t>
        </is>
      </c>
      <c r="M5" s="4" t="inlineStr">
        <is>
          <t>Mouser-Suche</t>
        </is>
      </c>
      <c r="N5" s="4" t="inlineStr">
        <is>
          <t>Datenblatt</t>
        </is>
      </c>
      <c r="O5" s="4" t="inlineStr">
        <is>
          <t>Status</t>
        </is>
      </c>
      <c r="P5" s="4" t="inlineStr">
        <is>
          <t>Hinweis</t>
        </is>
      </c>
    </row>
    <row r="6">
      <c r="A6" s="5" t="n">
        <v>1</v>
      </c>
      <c r="B6" s="5" t="n">
        <v>1</v>
      </c>
      <c r="C6" s="6" t="inlineStr">
        <is>
          <t>ANT1</t>
        </is>
      </c>
      <c r="D6" s="7" t="inlineStr">
        <is>
          <t>CAB.6061</t>
        </is>
      </c>
      <c r="E6" s="5" t="inlineStr"/>
      <c r="F6" s="8" t="inlineStr">
        <is>
          <t>mechanical:WLAN_Pigtail</t>
        </is>
      </c>
      <c r="G6" s="8" t="inlineStr"/>
      <c r="H6" s="7" t="inlineStr">
        <is>
          <t>Taoglas</t>
        </is>
      </c>
      <c r="I6" s="7" t="inlineStr">
        <is>
          <t>CAB.6061</t>
        </is>
      </c>
      <c r="J6" s="9" t="n"/>
      <c r="K6" s="10" t="n"/>
      <c r="L6" s="11">
        <f>IF(OR(K6="",B6=""),"",B6*K6)</f>
        <v/>
      </c>
      <c r="M6" s="12" t="inlineStr">
        <is>
          <t>Suchen</t>
        </is>
      </c>
      <c r="N6" s="13" t="n"/>
      <c r="O6" s="14" t="inlineStr">
        <is>
          <t>eindeutig</t>
        </is>
      </c>
      <c r="P6" s="6" t="inlineStr">
        <is>
          <t>Nicht auf der Platine (externes Teil)</t>
        </is>
      </c>
    </row>
    <row r="7">
      <c r="A7" s="5" t="n">
        <v>2</v>
      </c>
      <c r="B7" s="5" t="n">
        <v>1</v>
      </c>
      <c r="C7" s="6" t="inlineStr">
        <is>
          <t>ANT2</t>
        </is>
      </c>
      <c r="D7" s="7" t="inlineStr">
        <is>
          <t>GW.20.5150</t>
        </is>
      </c>
      <c r="E7" s="5" t="inlineStr"/>
      <c r="F7" s="8" t="inlineStr">
        <is>
          <t>mechanical:WLAN_Antenna</t>
        </is>
      </c>
      <c r="G7" s="8" t="inlineStr"/>
      <c r="H7" s="7" t="inlineStr">
        <is>
          <t>Taoglas</t>
        </is>
      </c>
      <c r="I7" s="7" t="inlineStr">
        <is>
          <t>GW.20.5150</t>
        </is>
      </c>
      <c r="J7" s="9" t="n"/>
      <c r="K7" s="10" t="n"/>
      <c r="L7" s="11">
        <f>IF(OR(K7="",B7=""),"",B7*K7)</f>
        <v/>
      </c>
      <c r="M7" s="12" t="inlineStr">
        <is>
          <t>Suchen</t>
        </is>
      </c>
      <c r="N7" s="13" t="n"/>
      <c r="O7" s="14" t="inlineStr">
        <is>
          <t>eindeutig</t>
        </is>
      </c>
      <c r="P7" s="6" t="inlineStr">
        <is>
          <t>Nicht auf der Platine (externes Teil)</t>
        </is>
      </c>
    </row>
    <row r="8">
      <c r="A8" s="5" t="n">
        <v>3</v>
      </c>
      <c r="B8" s="5" t="n">
        <v>3</v>
      </c>
      <c r="C8" s="6" t="inlineStr">
        <is>
          <t>C7, C10, C12</t>
        </is>
      </c>
      <c r="D8" s="7" t="inlineStr">
        <is>
          <t>WCAP-FTXX_P10</t>
        </is>
      </c>
      <c r="E8" s="5" t="inlineStr">
        <is>
          <t>SMD</t>
        </is>
      </c>
      <c r="F8" s="8" t="inlineStr">
        <is>
          <t>WCAP-FTXX_P10:WCAP-FTXX_P10</t>
        </is>
      </c>
      <c r="G8" s="8" t="inlineStr">
        <is>
          <t>WCAP-FTXX_P10:WCAP-FTXX_P10L13W7H13</t>
        </is>
      </c>
      <c r="H8" s="7" t="inlineStr">
        <is>
          <t>Würth Elektronik</t>
        </is>
      </c>
      <c r="I8" s="7" t="inlineStr">
        <is>
          <t>890334023023</t>
        </is>
      </c>
      <c r="J8" s="9" t="n"/>
      <c r="K8" s="10" t="n"/>
      <c r="L8" s="11">
        <f>IF(OR(K8="",B8=""),"",B8*K8)</f>
        <v/>
      </c>
      <c r="M8" s="12" t="inlineStr">
        <is>
          <t>Suchen</t>
        </is>
      </c>
      <c r="N8" s="13" t="n"/>
      <c r="O8" s="14" t="inlineStr">
        <is>
          <t>eindeutig</t>
        </is>
      </c>
      <c r="P8" s="6" t="inlineStr"/>
    </row>
    <row r="9">
      <c r="A9" s="5" t="n">
        <v>4</v>
      </c>
      <c r="B9" s="5" t="n">
        <v>1</v>
      </c>
      <c r="C9" s="6" t="inlineStr">
        <is>
          <t>C8</t>
        </is>
      </c>
      <c r="D9" s="7" t="inlineStr">
        <is>
          <t>WCAP-PT5H_6.3X5.2</t>
        </is>
      </c>
      <c r="E9" s="5" t="inlineStr">
        <is>
          <t>SMD</t>
        </is>
      </c>
      <c r="F9" s="8" t="inlineStr">
        <is>
          <t>WCAP-PT5H_6.3X5.2:WCAP-PT5H_6.3X5.2</t>
        </is>
      </c>
      <c r="G9" s="8" t="inlineStr">
        <is>
          <t>WCAP-PT5H_6.3X5.2:WCAP-PT5H_6.3X5.2_DXL_</t>
        </is>
      </c>
      <c r="H9" s="7" t="inlineStr">
        <is>
          <t>Wurth Elektronik</t>
        </is>
      </c>
      <c r="I9" s="7" t="inlineStr">
        <is>
          <t>870235673001</t>
        </is>
      </c>
      <c r="J9" s="9" t="n"/>
      <c r="K9" s="10" t="n"/>
      <c r="L9" s="11">
        <f>IF(OR(K9="",B9=""),"",B9*K9)</f>
        <v/>
      </c>
      <c r="M9" s="12" t="inlineStr">
        <is>
          <t>Suchen</t>
        </is>
      </c>
      <c r="N9" s="13" t="n"/>
      <c r="O9" s="14" t="inlineStr">
        <is>
          <t>eindeutig</t>
        </is>
      </c>
      <c r="P9" s="6" t="inlineStr"/>
    </row>
    <row r="10">
      <c r="A10" s="5" t="n">
        <v>5</v>
      </c>
      <c r="B10" s="5" t="n">
        <v>1</v>
      </c>
      <c r="C10" s="6" t="inlineStr">
        <is>
          <t>C13</t>
        </is>
      </c>
      <c r="D10" s="7" t="inlineStr">
        <is>
          <t>10uF</t>
        </is>
      </c>
      <c r="E10" s="5" t="inlineStr">
        <is>
          <t>SMD</t>
        </is>
      </c>
      <c r="F10" s="8" t="inlineStr">
        <is>
          <t>Device:C</t>
        </is>
      </c>
      <c r="G10" s="8" t="inlineStr">
        <is>
          <t>Capacitor_SMD:C_0805_2012Metric</t>
        </is>
      </c>
      <c r="H10" s="7" t="inlineStr"/>
      <c r="I10" s="7" t="inlineStr"/>
      <c r="J10" s="9" t="n"/>
      <c r="K10" s="10" t="n"/>
      <c r="L10" s="11">
        <f>IF(OR(K10="",B10=""),"",B10*K10)</f>
        <v/>
      </c>
      <c r="M10" s="13" t="n"/>
      <c r="N10" s="13" t="n"/>
      <c r="O10" s="15" t="inlineStr">
        <is>
          <t>Auswahl nötig</t>
        </is>
      </c>
      <c r="P10" s="6" t="inlineStr">
        <is>
          <t>Generisches Passivteil - Toleranz, Spannung, Dielektrikum bzw. Belastbarkeit festlegen</t>
        </is>
      </c>
    </row>
    <row r="11">
      <c r="A11" s="5" t="n">
        <v>6</v>
      </c>
      <c r="B11" s="5" t="n">
        <v>1</v>
      </c>
      <c r="C11" s="6" t="inlineStr">
        <is>
          <t>C14</t>
        </is>
      </c>
      <c r="D11" s="7" t="inlineStr">
        <is>
          <t>22uF</t>
        </is>
      </c>
      <c r="E11" s="5" t="inlineStr">
        <is>
          <t>SMD</t>
        </is>
      </c>
      <c r="F11" s="8" t="inlineStr">
        <is>
          <t>Device:C</t>
        </is>
      </c>
      <c r="G11" s="8" t="inlineStr">
        <is>
          <t>Capacitor_SMD:C_0805_2012Metric</t>
        </is>
      </c>
      <c r="H11" s="7" t="inlineStr"/>
      <c r="I11" s="7" t="inlineStr"/>
      <c r="J11" s="9" t="n"/>
      <c r="K11" s="10" t="n"/>
      <c r="L11" s="11">
        <f>IF(OR(K11="",B11=""),"",B11*K11)</f>
        <v/>
      </c>
      <c r="M11" s="13" t="n"/>
      <c r="N11" s="13" t="n"/>
      <c r="O11" s="15" t="inlineStr">
        <is>
          <t>Auswahl nötig</t>
        </is>
      </c>
      <c r="P11" s="6" t="inlineStr">
        <is>
          <t>Generisches Passivteil - Toleranz, Spannung, Dielektrikum bzw. Belastbarkeit festlegen</t>
        </is>
      </c>
    </row>
    <row r="12">
      <c r="A12" s="5" t="n">
        <v>7</v>
      </c>
      <c r="B12" s="5" t="n">
        <v>1</v>
      </c>
      <c r="C12" s="6" t="inlineStr">
        <is>
          <t>C15</t>
        </is>
      </c>
      <c r="D12" s="7" t="inlineStr">
        <is>
          <t>100 nF</t>
        </is>
      </c>
      <c r="E12" s="5" t="inlineStr">
        <is>
          <t>SMD</t>
        </is>
      </c>
      <c r="F12" s="8" t="inlineStr">
        <is>
          <t>Device:C</t>
        </is>
      </c>
      <c r="G12" s="8" t="inlineStr">
        <is>
          <t>Capacitor_SMD:C_0805_2012Metric</t>
        </is>
      </c>
      <c r="H12" s="7" t="inlineStr"/>
      <c r="I12" s="7" t="inlineStr"/>
      <c r="J12" s="9" t="n"/>
      <c r="K12" s="10" t="n"/>
      <c r="L12" s="11">
        <f>IF(OR(K12="",B12=""),"",B12*K12)</f>
        <v/>
      </c>
      <c r="M12" s="13" t="n"/>
      <c r="N12" s="13" t="n"/>
      <c r="O12" s="15" t="inlineStr">
        <is>
          <t>Auswahl nötig</t>
        </is>
      </c>
      <c r="P12" s="6" t="inlineStr">
        <is>
          <t>Generisches Passivteil - Toleranz, Spannung, Dielektrikum bzw. Belastbarkeit festlegen</t>
        </is>
      </c>
    </row>
    <row r="13">
      <c r="A13" s="5" t="n">
        <v>8</v>
      </c>
      <c r="B13" s="5" t="n">
        <v>7</v>
      </c>
      <c r="C13" s="6" t="inlineStr">
        <is>
          <t>C16, C17, C18, C19, C20, C21, C22</t>
        </is>
      </c>
      <c r="D13" s="7" t="inlineStr">
        <is>
          <t>100nF</t>
        </is>
      </c>
      <c r="E13" s="5" t="inlineStr">
        <is>
          <t>SMD</t>
        </is>
      </c>
      <c r="F13" s="8" t="inlineStr">
        <is>
          <t>Device:C</t>
        </is>
      </c>
      <c r="G13" s="8" t="inlineStr">
        <is>
          <t>Capacitor_SMD:C_0805_2012Metric</t>
        </is>
      </c>
      <c r="H13" s="7" t="inlineStr"/>
      <c r="I13" s="7" t="inlineStr"/>
      <c r="J13" s="9" t="n"/>
      <c r="K13" s="10" t="n"/>
      <c r="L13" s="11">
        <f>IF(OR(K13="",B13=""),"",B13*K13)</f>
        <v/>
      </c>
      <c r="M13" s="13" t="n"/>
      <c r="N13" s="13" t="n"/>
      <c r="O13" s="15" t="inlineStr">
        <is>
          <t>Auswahl nötig</t>
        </is>
      </c>
      <c r="P13" s="6" t="inlineStr">
        <is>
          <t>Generisches Passivteil - Toleranz, Spannung, Dielektrikum bzw. Belastbarkeit festlegen</t>
        </is>
      </c>
    </row>
    <row r="14">
      <c r="A14" s="5" t="n">
        <v>9</v>
      </c>
      <c r="B14" s="5" t="n">
        <v>1</v>
      </c>
      <c r="C14" s="6" t="inlineStr">
        <is>
          <t>C23</t>
        </is>
      </c>
      <c r="D14" s="7" t="inlineStr">
        <is>
          <t>4,7 µF</t>
        </is>
      </c>
      <c r="E14" s="5" t="inlineStr">
        <is>
          <t>SMD</t>
        </is>
      </c>
      <c r="F14" s="8" t="inlineStr">
        <is>
          <t>Device:C</t>
        </is>
      </c>
      <c r="G14" s="8" t="inlineStr">
        <is>
          <t>Capacitor_SMD:C_0805_2012Metric</t>
        </is>
      </c>
      <c r="H14" s="7" t="inlineStr"/>
      <c r="I14" s="7" t="inlineStr"/>
      <c r="J14" s="9" t="n"/>
      <c r="K14" s="10" t="n"/>
      <c r="L14" s="11">
        <f>IF(OR(K14="",B14=""),"",B14*K14)</f>
        <v/>
      </c>
      <c r="M14" s="13" t="n"/>
      <c r="N14" s="13" t="n"/>
      <c r="O14" s="15" t="inlineStr">
        <is>
          <t>Auswahl nötig</t>
        </is>
      </c>
      <c r="P14" s="6" t="inlineStr">
        <is>
          <t>Generisches Passivteil - Toleranz, Spannung, Dielektrikum bzw. Belastbarkeit festlegen</t>
        </is>
      </c>
    </row>
    <row r="15">
      <c r="A15" s="5" t="n">
        <v>10</v>
      </c>
      <c r="B15" s="5" t="n">
        <v>2</v>
      </c>
      <c r="C15" s="6" t="inlineStr">
        <is>
          <t>C24, C31</t>
        </is>
      </c>
      <c r="D15" s="7" t="inlineStr">
        <is>
          <t>10nF</t>
        </is>
      </c>
      <c r="E15" s="5" t="inlineStr">
        <is>
          <t>SMD</t>
        </is>
      </c>
      <c r="F15" s="8" t="inlineStr">
        <is>
          <t>Device:C</t>
        </is>
      </c>
      <c r="G15" s="8" t="inlineStr">
        <is>
          <t>Capacitor_SMD:C_0805_2012Metric</t>
        </is>
      </c>
      <c r="H15" s="7" t="inlineStr"/>
      <c r="I15" s="7" t="inlineStr"/>
      <c r="J15" s="9" t="n"/>
      <c r="K15" s="10" t="n"/>
      <c r="L15" s="11">
        <f>IF(OR(K15="",B15=""),"",B15*K15)</f>
        <v/>
      </c>
      <c r="M15" s="13" t="n"/>
      <c r="N15" s="13" t="n"/>
      <c r="O15" s="15" t="inlineStr">
        <is>
          <t>Auswahl nötig</t>
        </is>
      </c>
      <c r="P15" s="6" t="inlineStr">
        <is>
          <t>Generisches Passivteil - Toleranz, Spannung, Dielektrikum bzw. Belastbarkeit festlegen</t>
        </is>
      </c>
    </row>
    <row r="16">
      <c r="A16" s="5" t="n">
        <v>11</v>
      </c>
      <c r="B16" s="5" t="n">
        <v>2</v>
      </c>
      <c r="C16" s="6" t="inlineStr">
        <is>
          <t>C25, C26</t>
        </is>
      </c>
      <c r="D16" s="7" t="inlineStr">
        <is>
          <t>27 pF</t>
        </is>
      </c>
      <c r="E16" s="5" t="inlineStr">
        <is>
          <t>SMD</t>
        </is>
      </c>
      <c r="F16" s="8" t="inlineStr">
        <is>
          <t>Device:C</t>
        </is>
      </c>
      <c r="G16" s="8" t="inlineStr">
        <is>
          <t>Capacitor_SMD:C_0805_2012Metric</t>
        </is>
      </c>
      <c r="H16" s="7" t="inlineStr"/>
      <c r="I16" s="7" t="inlineStr"/>
      <c r="J16" s="9" t="n"/>
      <c r="K16" s="10" t="n"/>
      <c r="L16" s="11">
        <f>IF(OR(K16="",B16=""),"",B16*K16)</f>
        <v/>
      </c>
      <c r="M16" s="13" t="n"/>
      <c r="N16" s="13" t="n"/>
      <c r="O16" s="15" t="inlineStr">
        <is>
          <t>Auswahl nötig</t>
        </is>
      </c>
      <c r="P16" s="6" t="inlineStr">
        <is>
          <t>Generisches Passivteil - Toleranz, Spannung, Dielektrikum bzw. Belastbarkeit festlegen</t>
        </is>
      </c>
    </row>
    <row r="17">
      <c r="A17" s="5" t="n">
        <v>12</v>
      </c>
      <c r="B17" s="5" t="n">
        <v>1</v>
      </c>
      <c r="C17" s="6" t="inlineStr">
        <is>
          <t>C27</t>
        </is>
      </c>
      <c r="D17" s="7" t="inlineStr">
        <is>
          <t>10 µF</t>
        </is>
      </c>
      <c r="E17" s="5" t="inlineStr">
        <is>
          <t>SMD</t>
        </is>
      </c>
      <c r="F17" s="8" t="inlineStr">
        <is>
          <t>Device:C</t>
        </is>
      </c>
      <c r="G17" s="8" t="inlineStr">
        <is>
          <t>Capacitor_SMD:C_0805_2012Metric</t>
        </is>
      </c>
      <c r="H17" s="7" t="inlineStr"/>
      <c r="I17" s="7" t="inlineStr"/>
      <c r="J17" s="9" t="n"/>
      <c r="K17" s="10" t="n"/>
      <c r="L17" s="11">
        <f>IF(OR(K17="",B17=""),"",B17*K17)</f>
        <v/>
      </c>
      <c r="M17" s="13" t="n"/>
      <c r="N17" s="13" t="n"/>
      <c r="O17" s="15" t="inlineStr">
        <is>
          <t>Auswahl nötig</t>
        </is>
      </c>
      <c r="P17" s="6" t="inlineStr">
        <is>
          <t>Generisches Passivteil - Toleranz, Spannung, Dielektrikum bzw. Belastbarkeit festlegen</t>
        </is>
      </c>
    </row>
    <row r="18">
      <c r="A18" s="5" t="n">
        <v>13</v>
      </c>
      <c r="B18" s="5" t="n">
        <v>1</v>
      </c>
      <c r="C18" s="6" t="inlineStr">
        <is>
          <t>C28</t>
        </is>
      </c>
      <c r="D18" s="7" t="inlineStr">
        <is>
          <t>1nF/2kV</t>
        </is>
      </c>
      <c r="E18" s="5" t="inlineStr">
        <is>
          <t>SMD</t>
        </is>
      </c>
      <c r="F18" s="8" t="inlineStr">
        <is>
          <t>Device:C</t>
        </is>
      </c>
      <c r="G18" s="8" t="inlineStr">
        <is>
          <t>Capacitor_SMD:C_1206_3216Metric</t>
        </is>
      </c>
      <c r="H18" s="7" t="inlineStr"/>
      <c r="I18" s="7" t="inlineStr"/>
      <c r="J18" s="9" t="n"/>
      <c r="K18" s="10" t="n"/>
      <c r="L18" s="11">
        <f>IF(OR(K18="",B18=""),"",B18*K18)</f>
        <v/>
      </c>
      <c r="M18" s="13" t="n"/>
      <c r="N18" s="13" t="n"/>
      <c r="O18" s="15" t="inlineStr">
        <is>
          <t>Auswahl nötig</t>
        </is>
      </c>
      <c r="P18" s="6" t="inlineStr">
        <is>
          <t>Generisches Passivteil - Toleranz, Spannung, Dielektrikum bzw. Belastbarkeit festlegen</t>
        </is>
      </c>
    </row>
    <row r="19">
      <c r="A19" s="5" t="n">
        <v>14</v>
      </c>
      <c r="B19" s="5" t="n">
        <v>2</v>
      </c>
      <c r="C19" s="6" t="inlineStr">
        <is>
          <t>C29, C30</t>
        </is>
      </c>
      <c r="D19" s="7" t="inlineStr">
        <is>
          <t>6,8nF</t>
        </is>
      </c>
      <c r="E19" s="5" t="inlineStr">
        <is>
          <t>SMD</t>
        </is>
      </c>
      <c r="F19" s="8" t="inlineStr">
        <is>
          <t>Device:C</t>
        </is>
      </c>
      <c r="G19" s="8" t="inlineStr">
        <is>
          <t>Capacitor_SMD:C_0805_2012Metric</t>
        </is>
      </c>
      <c r="H19" s="7" t="inlineStr"/>
      <c r="I19" s="7" t="inlineStr"/>
      <c r="J19" s="9" t="n"/>
      <c r="K19" s="10" t="n"/>
      <c r="L19" s="11">
        <f>IF(OR(K19="",B19=""),"",B19*K19)</f>
        <v/>
      </c>
      <c r="M19" s="13" t="n"/>
      <c r="N19" s="13" t="n"/>
      <c r="O19" s="15" t="inlineStr">
        <is>
          <t>Auswahl nötig</t>
        </is>
      </c>
      <c r="P19" s="6" t="inlineStr">
        <is>
          <t>Generisches Passivteil - Toleranz, Spannung, Dielektrikum bzw. Belastbarkeit festlegen</t>
        </is>
      </c>
    </row>
    <row r="20">
      <c r="A20" s="5" t="n">
        <v>15</v>
      </c>
      <c r="B20" s="5" t="n">
        <v>1</v>
      </c>
      <c r="C20" s="6" t="inlineStr">
        <is>
          <t>C32</t>
        </is>
      </c>
      <c r="D20" s="7" t="inlineStr">
        <is>
          <t>22nF</t>
        </is>
      </c>
      <c r="E20" s="5" t="inlineStr">
        <is>
          <t>SMD</t>
        </is>
      </c>
      <c r="F20" s="8" t="inlineStr">
        <is>
          <t>Device:C</t>
        </is>
      </c>
      <c r="G20" s="8" t="inlineStr">
        <is>
          <t>Capacitor_SMD:C_0805_2012Metric</t>
        </is>
      </c>
      <c r="H20" s="7" t="inlineStr"/>
      <c r="I20" s="7" t="inlineStr"/>
      <c r="J20" s="9" t="n"/>
      <c r="K20" s="10" t="n"/>
      <c r="L20" s="11">
        <f>IF(OR(K20="",B20=""),"",B20*K20)</f>
        <v/>
      </c>
      <c r="M20" s="13" t="n"/>
      <c r="N20" s="13" t="n"/>
      <c r="O20" s="15" t="inlineStr">
        <is>
          <t>Auswahl nötig</t>
        </is>
      </c>
      <c r="P20" s="6" t="inlineStr">
        <is>
          <t>Generisches Passivteil - Toleranz, Spannung, Dielektrikum bzw. Belastbarkeit festlegen</t>
        </is>
      </c>
    </row>
    <row r="21">
      <c r="A21" s="5" t="n">
        <v>16</v>
      </c>
      <c r="B21" s="5" t="n">
        <v>1</v>
      </c>
      <c r="C21" s="6" t="inlineStr">
        <is>
          <t>D7</t>
        </is>
      </c>
      <c r="D21" s="7" t="inlineStr">
        <is>
          <t>YELLOW</t>
        </is>
      </c>
      <c r="E21" s="5" t="inlineStr">
        <is>
          <t>SMD</t>
        </is>
      </c>
      <c r="F21" s="8" t="inlineStr">
        <is>
          <t>WL-TMRC_3MM:WL-TMRC_3MM</t>
        </is>
      </c>
      <c r="G21" s="8" t="inlineStr">
        <is>
          <t>WL-TMRC_3MM:WL-TMRC_3MM</t>
        </is>
      </c>
      <c r="H21" s="7" t="inlineStr">
        <is>
          <t>Wurth Electronics</t>
        </is>
      </c>
      <c r="I21" s="7" t="inlineStr">
        <is>
          <t>151031YS05900</t>
        </is>
      </c>
      <c r="J21" s="9" t="n"/>
      <c r="K21" s="10" t="n"/>
      <c r="L21" s="11">
        <f>IF(OR(K21="",B21=""),"",B21*K21)</f>
        <v/>
      </c>
      <c r="M21" s="12" t="inlineStr">
        <is>
          <t>Suchen</t>
        </is>
      </c>
      <c r="N21" s="13" t="n"/>
      <c r="O21" s="14" t="inlineStr">
        <is>
          <t>eindeutig</t>
        </is>
      </c>
      <c r="P21" s="6" t="inlineStr"/>
    </row>
    <row r="22">
      <c r="A22" s="5" t="n">
        <v>17</v>
      </c>
      <c r="B22" s="5" t="n">
        <v>1</v>
      </c>
      <c r="C22" s="6" t="inlineStr">
        <is>
          <t>D8</t>
        </is>
      </c>
      <c r="D22" s="7" t="inlineStr">
        <is>
          <t>BLUE</t>
        </is>
      </c>
      <c r="E22" s="5" t="inlineStr">
        <is>
          <t>SMD</t>
        </is>
      </c>
      <c r="F22" s="8" t="inlineStr">
        <is>
          <t>Device:LED</t>
        </is>
      </c>
      <c r="G22" s="8" t="inlineStr">
        <is>
          <t>WL-TMRW_3MM:WL-TMRW_3MM</t>
        </is>
      </c>
      <c r="H22" s="7" t="inlineStr">
        <is>
          <t>Würth Elektronik</t>
        </is>
      </c>
      <c r="I22" s="7" t="inlineStr">
        <is>
          <t>WL-TMRW 3 mm (Serie)</t>
        </is>
      </c>
      <c r="J22" s="9" t="n"/>
      <c r="K22" s="10" t="n"/>
      <c r="L22" s="11">
        <f>IF(OR(K22="",B22=""),"",B22*K22)</f>
        <v/>
      </c>
      <c r="M22" s="12" t="inlineStr">
        <is>
          <t>Suchen</t>
        </is>
      </c>
      <c r="N22" s="13" t="n"/>
      <c r="O22" s="16" t="inlineStr">
        <is>
          <t>abgeleitet</t>
        </is>
      </c>
      <c r="P22" s="6" t="inlineStr">
        <is>
          <t>Aus Bibliotheks-/Footprint-Name abgeleitet - vor Bestellung bestätigen</t>
        </is>
      </c>
    </row>
    <row r="23">
      <c r="A23" s="5" t="n">
        <v>18</v>
      </c>
      <c r="B23" s="5" t="n">
        <v>1</v>
      </c>
      <c r="C23" s="6" t="inlineStr">
        <is>
          <t>D9</t>
        </is>
      </c>
      <c r="D23" s="7" t="inlineStr">
        <is>
          <t>RED</t>
        </is>
      </c>
      <c r="E23" s="5" t="inlineStr">
        <is>
          <t>SMD</t>
        </is>
      </c>
      <c r="F23" s="8" t="inlineStr">
        <is>
          <t>Device:LED</t>
        </is>
      </c>
      <c r="G23" s="8" t="inlineStr">
        <is>
          <t>WL-TMRW_3MM:WL-TMRW_3MM</t>
        </is>
      </c>
      <c r="H23" s="7" t="inlineStr">
        <is>
          <t>Würth Elektronik</t>
        </is>
      </c>
      <c r="I23" s="7" t="inlineStr">
        <is>
          <t>WL-TMRW 3 mm (Serie)</t>
        </is>
      </c>
      <c r="J23" s="9" t="n"/>
      <c r="K23" s="10" t="n"/>
      <c r="L23" s="11">
        <f>IF(OR(K23="",B23=""),"",B23*K23)</f>
        <v/>
      </c>
      <c r="M23" s="12" t="inlineStr">
        <is>
          <t>Suchen</t>
        </is>
      </c>
      <c r="N23" s="13" t="n"/>
      <c r="O23" s="16" t="inlineStr">
        <is>
          <t>abgeleitet</t>
        </is>
      </c>
      <c r="P23" s="6" t="inlineStr">
        <is>
          <t>Aus Bibliotheks-/Footprint-Name abgeleitet - vor Bestellung bestätigen</t>
        </is>
      </c>
    </row>
    <row r="24">
      <c r="A24" s="5" t="n">
        <v>19</v>
      </c>
      <c r="B24" s="5" t="n">
        <v>1</v>
      </c>
      <c r="C24" s="6" t="inlineStr">
        <is>
          <t>D10</t>
        </is>
      </c>
      <c r="D24" s="7" t="inlineStr">
        <is>
          <t>GREEN</t>
        </is>
      </c>
      <c r="E24" s="5" t="inlineStr">
        <is>
          <t>SMD</t>
        </is>
      </c>
      <c r="F24" s="8" t="inlineStr">
        <is>
          <t>Device:LED</t>
        </is>
      </c>
      <c r="G24" s="8" t="inlineStr">
        <is>
          <t>WL-TMRC_3MM:WL-TMRC_3MM</t>
        </is>
      </c>
      <c r="H24" s="7" t="inlineStr">
        <is>
          <t>Würth Elektronik</t>
        </is>
      </c>
      <c r="I24" s="7" t="inlineStr">
        <is>
          <t>WL-TMRC 3 mm (Serie)</t>
        </is>
      </c>
      <c r="J24" s="9" t="n"/>
      <c r="K24" s="10" t="n"/>
      <c r="L24" s="11">
        <f>IF(OR(K24="",B24=""),"",B24*K24)</f>
        <v/>
      </c>
      <c r="M24" s="12" t="inlineStr">
        <is>
          <t>Suchen</t>
        </is>
      </c>
      <c r="N24" s="13" t="n"/>
      <c r="O24" s="16" t="inlineStr">
        <is>
          <t>abgeleitet</t>
        </is>
      </c>
      <c r="P24" s="6" t="inlineStr">
        <is>
          <t>Aus Bibliotheks-/Footprint-Name abgeleitet - vor Bestellung bestätigen</t>
        </is>
      </c>
    </row>
    <row r="25">
      <c r="A25" s="5" t="n">
        <v>20</v>
      </c>
      <c r="B25" s="5" t="n">
        <v>1</v>
      </c>
      <c r="C25" s="6" t="inlineStr">
        <is>
          <t>D11</t>
        </is>
      </c>
      <c r="D25" s="7" t="inlineStr">
        <is>
          <t>SS34</t>
        </is>
      </c>
      <c r="E25" s="5" t="inlineStr">
        <is>
          <t>SMD</t>
        </is>
      </c>
      <c r="F25" s="8" t="inlineStr">
        <is>
          <t>Diode:SS34</t>
        </is>
      </c>
      <c r="G25" s="8" t="inlineStr">
        <is>
          <t>Diode_SMD:D_SMA</t>
        </is>
      </c>
      <c r="H25" s="7" t="inlineStr"/>
      <c r="I25" s="7" t="inlineStr">
        <is>
          <t>SS34</t>
        </is>
      </c>
      <c r="J25" s="9" t="n"/>
      <c r="K25" s="10" t="n"/>
      <c r="L25" s="11">
        <f>IF(OR(K25="",B25=""),"",B25*K25)</f>
        <v/>
      </c>
      <c r="M25" s="12" t="inlineStr">
        <is>
          <t>Suchen</t>
        </is>
      </c>
      <c r="N25" s="12" t="inlineStr">
        <is>
          <t>Datenblatt</t>
        </is>
      </c>
      <c r="O25" s="14" t="inlineStr">
        <is>
          <t>eindeutig</t>
        </is>
      </c>
      <c r="P25" s="6" t="inlineStr"/>
    </row>
    <row r="26">
      <c r="A26" s="5" t="n">
        <v>21</v>
      </c>
      <c r="B26" s="5" t="n">
        <v>1</v>
      </c>
      <c r="C26" s="6" t="inlineStr">
        <is>
          <t>D12</t>
        </is>
      </c>
      <c r="D26" s="7" t="inlineStr">
        <is>
          <t>SMAJ5.0A</t>
        </is>
      </c>
      <c r="E26" s="5" t="inlineStr">
        <is>
          <t>SMD</t>
        </is>
      </c>
      <c r="F26" s="8" t="inlineStr">
        <is>
          <t>Diode:SMAJ5.0A</t>
        </is>
      </c>
      <c r="G26" s="8" t="inlineStr">
        <is>
          <t>Diode_SMD:D_SMA</t>
        </is>
      </c>
      <c r="H26" s="7" t="inlineStr"/>
      <c r="I26" s="7" t="inlineStr">
        <is>
          <t>SMAJ5.0A</t>
        </is>
      </c>
      <c r="J26" s="9" t="n"/>
      <c r="K26" s="10" t="n"/>
      <c r="L26" s="11">
        <f>IF(OR(K26="",B26=""),"",B26*K26)</f>
        <v/>
      </c>
      <c r="M26" s="12" t="inlineStr">
        <is>
          <t>Suchen</t>
        </is>
      </c>
      <c r="N26" s="12" t="inlineStr">
        <is>
          <t>Datenblatt</t>
        </is>
      </c>
      <c r="O26" s="14" t="inlineStr">
        <is>
          <t>eindeutig</t>
        </is>
      </c>
      <c r="P26" s="6" t="inlineStr"/>
    </row>
    <row r="27">
      <c r="A27" s="5" t="n">
        <v>22</v>
      </c>
      <c r="B27" s="5" t="n">
        <v>1</v>
      </c>
      <c r="C27" s="6" t="inlineStr">
        <is>
          <t>F1</t>
        </is>
      </c>
      <c r="D27" s="7" t="inlineStr">
        <is>
          <t>Fuse</t>
        </is>
      </c>
      <c r="E27" s="5" t="inlineStr">
        <is>
          <t>SMD</t>
        </is>
      </c>
      <c r="F27" s="8" t="inlineStr">
        <is>
          <t>Device:Fuse</t>
        </is>
      </c>
      <c r="G27" s="8" t="inlineStr">
        <is>
          <t>Fuse:Fuse_1206_3216Metric</t>
        </is>
      </c>
      <c r="H27" s="7" t="inlineStr"/>
      <c r="I27" s="7" t="inlineStr"/>
      <c r="J27" s="9" t="n"/>
      <c r="K27" s="10" t="n"/>
      <c r="L27" s="11">
        <f>IF(OR(K27="",B27=""),"",B27*K27)</f>
        <v/>
      </c>
      <c r="M27" s="13" t="n"/>
      <c r="N27" s="13" t="n"/>
      <c r="O27" s="17" t="inlineStr">
        <is>
          <t>Wert fehlt</t>
        </is>
      </c>
      <c r="P27" s="6" t="inlineStr">
        <is>
          <t>Kein Strom-/Auslösewert im Schaltplan hinterlegt</t>
        </is>
      </c>
    </row>
    <row r="28">
      <c r="A28" s="5" t="n">
        <v>23</v>
      </c>
      <c r="B28" s="5" t="n">
        <v>1</v>
      </c>
      <c r="C28" s="6" t="inlineStr">
        <is>
          <t>FB1</t>
        </is>
      </c>
      <c r="D28" s="7" t="inlineStr">
        <is>
          <t>Ferrit 600R@100MHz</t>
        </is>
      </c>
      <c r="E28" s="5" t="inlineStr">
        <is>
          <t>SMD</t>
        </is>
      </c>
      <c r="F28" s="8" t="inlineStr">
        <is>
          <t>Device:R</t>
        </is>
      </c>
      <c r="G28" s="8" t="inlineStr">
        <is>
          <t>Inductor_SMD:L_0805_2012Metric</t>
        </is>
      </c>
      <c r="H28" s="7" t="inlineStr"/>
      <c r="I28" s="7" t="inlineStr"/>
      <c r="J28" s="9" t="n"/>
      <c r="K28" s="10" t="n"/>
      <c r="L28" s="11">
        <f>IF(OR(K28="",B28=""),"",B28*K28)</f>
        <v/>
      </c>
      <c r="M28" s="13" t="n"/>
      <c r="N28" s="13" t="n"/>
      <c r="O28" s="15" t="inlineStr">
        <is>
          <t>Auswahl nötig</t>
        </is>
      </c>
      <c r="P28" s="6" t="inlineStr">
        <is>
          <t>Generisches Passivteil - Toleranz, Spannung, Dielektrikum bzw. Belastbarkeit festlegen</t>
        </is>
      </c>
    </row>
    <row r="29">
      <c r="A29" s="5" t="n">
        <v>24</v>
      </c>
      <c r="B29" s="5" t="n">
        <v>1</v>
      </c>
      <c r="C29" s="6" t="inlineStr">
        <is>
          <t>J1</t>
        </is>
      </c>
      <c r="D29" s="7" t="inlineStr">
        <is>
          <t>12401548E4-2A</t>
        </is>
      </c>
      <c r="E29" s="5" t="inlineStr">
        <is>
          <t>SMD</t>
        </is>
      </c>
      <c r="F29" s="8" t="inlineStr">
        <is>
          <t>Connector:USB_C_Receptacle_USB2.0_16P</t>
        </is>
      </c>
      <c r="G29" s="8" t="inlineStr">
        <is>
          <t>shbs_power:USB_C_Receptacle_Amphenol_12401548E4-2A</t>
        </is>
      </c>
      <c r="H29" s="7" t="inlineStr">
        <is>
          <t>Amphenol</t>
        </is>
      </c>
      <c r="I29" s="7" t="inlineStr">
        <is>
          <t>12401548E4-2A</t>
        </is>
      </c>
      <c r="J29" s="9" t="n"/>
      <c r="K29" s="10" t="n"/>
      <c r="L29" s="11">
        <f>IF(OR(K29="",B29=""),"",B29*K29)</f>
        <v/>
      </c>
      <c r="M29" s="12" t="inlineStr">
        <is>
          <t>Suchen</t>
        </is>
      </c>
      <c r="N29" s="12" t="inlineStr">
        <is>
          <t>Datenblatt</t>
        </is>
      </c>
      <c r="O29" s="14" t="inlineStr">
        <is>
          <t>eindeutig</t>
        </is>
      </c>
      <c r="P29" s="6" t="inlineStr"/>
    </row>
    <row r="30">
      <c r="A30" s="5" t="n">
        <v>25</v>
      </c>
      <c r="B30" s="5" t="n">
        <v>1</v>
      </c>
      <c r="C30" s="6" t="inlineStr">
        <is>
          <t>J6</t>
        </is>
      </c>
      <c r="D30" s="7" t="inlineStr">
        <is>
          <t>Conn_02x03_Odd_Even</t>
        </is>
      </c>
      <c r="E30" s="5" t="inlineStr">
        <is>
          <t>SMD</t>
        </is>
      </c>
      <c r="F30" s="8" t="inlineStr">
        <is>
          <t>Connector_Generic:Conn_02x03_Odd_Even</t>
        </is>
      </c>
      <c r="G30" s="8" t="inlineStr">
        <is>
          <t>wuerth_6120XX21621:61200621621</t>
        </is>
      </c>
      <c r="H30" s="7" t="inlineStr">
        <is>
          <t>Würth Elektronik</t>
        </is>
      </c>
      <c r="I30" s="7" t="inlineStr">
        <is>
          <t>61200621621</t>
        </is>
      </c>
      <c r="J30" s="9" t="n"/>
      <c r="K30" s="10" t="n"/>
      <c r="L30" s="11">
        <f>IF(OR(K30="",B30=""),"",B30*K30)</f>
        <v/>
      </c>
      <c r="M30" s="12" t="inlineStr">
        <is>
          <t>Suchen</t>
        </is>
      </c>
      <c r="N30" s="13" t="n"/>
      <c r="O30" s="16" t="inlineStr">
        <is>
          <t>abgeleitet</t>
        </is>
      </c>
      <c r="P30" s="6" t="inlineStr">
        <is>
          <t>Aus Bibliotheks-/Footprint-Name abgeleitet - vor Bestellung bestätigen</t>
        </is>
      </c>
    </row>
    <row r="31">
      <c r="A31" s="5" t="n">
        <v>26</v>
      </c>
      <c r="B31" s="5" t="n">
        <v>1</v>
      </c>
      <c r="C31" s="6" t="inlineStr">
        <is>
          <t>J_PWR1</t>
        </is>
      </c>
      <c r="D31" s="7" t="inlineStr">
        <is>
          <t>12401548E4-2A</t>
        </is>
      </c>
      <c r="E31" s="5" t="inlineStr">
        <is>
          <t>SMD</t>
        </is>
      </c>
      <c r="F31" s="8" t="inlineStr">
        <is>
          <t>shbs_power:USB_C_Receptacle_Power</t>
        </is>
      </c>
      <c r="G31" s="8" t="inlineStr">
        <is>
          <t>shbs_power:USB_C_Receptacle_Amphenol_12401548E4-2A</t>
        </is>
      </c>
      <c r="H31" s="7" t="inlineStr">
        <is>
          <t>Amphenol</t>
        </is>
      </c>
      <c r="I31" s="7" t="inlineStr">
        <is>
          <t>12401548E4-2A</t>
        </is>
      </c>
      <c r="J31" s="9" t="n"/>
      <c r="K31" s="10" t="n"/>
      <c r="L31" s="11">
        <f>IF(OR(K31="",B31=""),"",B31*K31)</f>
        <v/>
      </c>
      <c r="M31" s="12" t="inlineStr">
        <is>
          <t>Suchen</t>
        </is>
      </c>
      <c r="N31" s="12" t="inlineStr">
        <is>
          <t>Datenblatt</t>
        </is>
      </c>
      <c r="O31" s="14" t="inlineStr">
        <is>
          <t>eindeutig</t>
        </is>
      </c>
      <c r="P31" s="6" t="inlineStr"/>
    </row>
    <row r="32">
      <c r="A32" s="5" t="n">
        <v>27</v>
      </c>
      <c r="B32" s="5" t="n">
        <v>1</v>
      </c>
      <c r="C32" s="6" t="inlineStr">
        <is>
          <t>L1</t>
        </is>
      </c>
      <c r="D32" s="7" t="inlineStr">
        <is>
          <t>10uH</t>
        </is>
      </c>
      <c r="E32" s="5" t="inlineStr">
        <is>
          <t>SMD</t>
        </is>
      </c>
      <c r="F32" s="8" t="inlineStr">
        <is>
          <t>Device:L</t>
        </is>
      </c>
      <c r="G32" s="8" t="inlineStr">
        <is>
          <t>Inductor_SMD:L_Bourns_SRN6045TA</t>
        </is>
      </c>
      <c r="H32" s="7" t="inlineStr">
        <is>
          <t>Bourns</t>
        </is>
      </c>
      <c r="I32" s="7" t="inlineStr">
        <is>
          <t>SRN6045TA (Serie)</t>
        </is>
      </c>
      <c r="J32" s="9" t="n"/>
      <c r="K32" s="10" t="n"/>
      <c r="L32" s="11">
        <f>IF(OR(K32="",B32=""),"",B32*K32)</f>
        <v/>
      </c>
      <c r="M32" s="12" t="inlineStr">
        <is>
          <t>Suchen</t>
        </is>
      </c>
      <c r="N32" s="13" t="n"/>
      <c r="O32" s="16" t="inlineStr">
        <is>
          <t>abgeleitet</t>
        </is>
      </c>
      <c r="P32" s="6" t="inlineStr">
        <is>
          <t>Aus Bibliotheks-/Footprint-Name abgeleitet - vor Bestellung bestätigen</t>
        </is>
      </c>
    </row>
    <row r="33">
      <c r="A33" s="5" t="n">
        <v>28</v>
      </c>
      <c r="B33" s="5" t="n">
        <v>1</v>
      </c>
      <c r="C33" s="6" t="inlineStr">
        <is>
          <t>PS1</t>
        </is>
      </c>
      <c r="D33" s="7" t="inlineStr">
        <is>
          <t>MP2359DJ</t>
        </is>
      </c>
      <c r="E33" s="5" t="inlineStr">
        <is>
          <t>SMD</t>
        </is>
      </c>
      <c r="F33" s="8" t="inlineStr">
        <is>
          <t>shbs_power:MP2359DJ</t>
        </is>
      </c>
      <c r="G33" s="8" t="inlineStr">
        <is>
          <t>shbs_power:MP2359DJ</t>
        </is>
      </c>
      <c r="H33" s="7" t="inlineStr">
        <is>
          <t>Monolithic Power Systems</t>
        </is>
      </c>
      <c r="I33" s="7" t="inlineStr">
        <is>
          <t>MP2359DJ</t>
        </is>
      </c>
      <c r="J33" s="9" t="n"/>
      <c r="K33" s="10" t="n"/>
      <c r="L33" s="11">
        <f>IF(OR(K33="",B33=""),"",B33*K33)</f>
        <v/>
      </c>
      <c r="M33" s="12" t="inlineStr">
        <is>
          <t>Suchen</t>
        </is>
      </c>
      <c r="N33" s="12" t="inlineStr">
        <is>
          <t>Datenblatt</t>
        </is>
      </c>
      <c r="O33" s="14" t="inlineStr">
        <is>
          <t>eindeutig</t>
        </is>
      </c>
      <c r="P33" s="6" t="inlineStr"/>
    </row>
    <row r="34">
      <c r="A34" s="5" t="n">
        <v>29</v>
      </c>
      <c r="B34" s="5" t="n">
        <v>4</v>
      </c>
      <c r="C34" s="6" t="inlineStr">
        <is>
          <t>Q1, Q2, Q3, Q4</t>
        </is>
      </c>
      <c r="D34" s="7" t="inlineStr">
        <is>
          <t>BC337</t>
        </is>
      </c>
      <c r="E34" s="5" t="inlineStr">
        <is>
          <t>THT</t>
        </is>
      </c>
      <c r="F34" s="8" t="inlineStr">
        <is>
          <t>Transistor_BJT:BC337</t>
        </is>
      </c>
      <c r="G34" s="8" t="inlineStr">
        <is>
          <t>Package_TO_SOT_THT:TO-92_Inline</t>
        </is>
      </c>
      <c r="H34" s="7" t="inlineStr"/>
      <c r="I34" s="7" t="inlineStr">
        <is>
          <t>BC337</t>
        </is>
      </c>
      <c r="J34" s="9" t="n"/>
      <c r="K34" s="10" t="n"/>
      <c r="L34" s="11">
        <f>IF(OR(K34="",B34=""),"",B34*K34)</f>
        <v/>
      </c>
      <c r="M34" s="12" t="inlineStr">
        <is>
          <t>Suchen</t>
        </is>
      </c>
      <c r="N34" s="12" t="inlineStr">
        <is>
          <t>Datenblatt</t>
        </is>
      </c>
      <c r="O34" s="14" t="inlineStr">
        <is>
          <t>eindeutig</t>
        </is>
      </c>
      <c r="P34" s="6" t="inlineStr"/>
    </row>
    <row r="35">
      <c r="A35" s="5" t="n">
        <v>30</v>
      </c>
      <c r="B35" s="5" t="n">
        <v>1</v>
      </c>
      <c r="C35" s="6" t="inlineStr">
        <is>
          <t>R9</t>
        </is>
      </c>
      <c r="D35" s="7" t="inlineStr">
        <is>
          <t>10k</t>
        </is>
      </c>
      <c r="E35" s="5" t="inlineStr">
        <is>
          <t>THT</t>
        </is>
      </c>
      <c r="F35" s="8" t="inlineStr">
        <is>
          <t>Device:R</t>
        </is>
      </c>
      <c r="G35" s="8" t="inlineStr">
        <is>
          <t>Resistor_THT:R_Axial_DIN0207_L6.3mm_D2.5mm_P10.16mm_Horizontal</t>
        </is>
      </c>
      <c r="H35" s="7" t="inlineStr"/>
      <c r="I35" s="7" t="inlineStr"/>
      <c r="J35" s="9" t="n"/>
      <c r="K35" s="10" t="n"/>
      <c r="L35" s="11">
        <f>IF(OR(K35="",B35=""),"",B35*K35)</f>
        <v/>
      </c>
      <c r="M35" s="13" t="n"/>
      <c r="N35" s="13" t="n"/>
      <c r="O35" s="15" t="inlineStr">
        <is>
          <t>Auswahl nötig</t>
        </is>
      </c>
      <c r="P35" s="6" t="inlineStr">
        <is>
          <t>Generisches Passivteil - Toleranz, Spannung, Dielektrikum bzw. Belastbarkeit festlegen</t>
        </is>
      </c>
    </row>
    <row r="36">
      <c r="A36" s="5" t="n">
        <v>31</v>
      </c>
      <c r="B36" s="5" t="n">
        <v>4</v>
      </c>
      <c r="C36" s="6" t="inlineStr">
        <is>
          <t>R13, R14, R15, R16</t>
        </is>
      </c>
      <c r="D36" s="7" t="inlineStr">
        <is>
          <t>220</t>
        </is>
      </c>
      <c r="E36" s="5" t="inlineStr">
        <is>
          <t>THT</t>
        </is>
      </c>
      <c r="F36" s="8" t="inlineStr">
        <is>
          <t>Device:R</t>
        </is>
      </c>
      <c r="G36" s="8" t="inlineStr">
        <is>
          <t>Resistor_THT:R_Axial_DIN0617_L17.0mm_D6.0mm_P20.32mm_Horizontal</t>
        </is>
      </c>
      <c r="H36" s="7" t="inlineStr"/>
      <c r="I36" s="7" t="inlineStr"/>
      <c r="J36" s="9" t="n"/>
      <c r="K36" s="10" t="n"/>
      <c r="L36" s="11">
        <f>IF(OR(K36="",B36=""),"",B36*K36)</f>
        <v/>
      </c>
      <c r="M36" s="13" t="n"/>
      <c r="N36" s="13" t="n"/>
      <c r="O36" s="15" t="inlineStr">
        <is>
          <t>Auswahl nötig</t>
        </is>
      </c>
      <c r="P36" s="6" t="inlineStr">
        <is>
          <t>Generisches Passivteil - Toleranz, Spannung, Dielektrikum bzw. Belastbarkeit festlegen</t>
        </is>
      </c>
    </row>
    <row r="37">
      <c r="A37" s="5" t="n">
        <v>32</v>
      </c>
      <c r="B37" s="5" t="n">
        <v>1</v>
      </c>
      <c r="C37" s="6" t="inlineStr">
        <is>
          <t>R17</t>
        </is>
      </c>
      <c r="D37" s="7" t="inlineStr">
        <is>
          <t>49,9 kΩ</t>
        </is>
      </c>
      <c r="E37" s="5" t="inlineStr">
        <is>
          <t>SMD</t>
        </is>
      </c>
      <c r="F37" s="8" t="inlineStr">
        <is>
          <t>Device:R</t>
        </is>
      </c>
      <c r="G37" s="8" t="inlineStr">
        <is>
          <t>Resistor_SMD:R_0805_2012Metric</t>
        </is>
      </c>
      <c r="H37" s="7" t="inlineStr"/>
      <c r="I37" s="7" t="inlineStr"/>
      <c r="J37" s="9" t="n"/>
      <c r="K37" s="10" t="n"/>
      <c r="L37" s="11">
        <f>IF(OR(K37="",B37=""),"",B37*K37)</f>
        <v/>
      </c>
      <c r="M37" s="13" t="n"/>
      <c r="N37" s="13" t="n"/>
      <c r="O37" s="15" t="inlineStr">
        <is>
          <t>Auswahl nötig</t>
        </is>
      </c>
      <c r="P37" s="6" t="inlineStr">
        <is>
          <t>Generisches Passivteil - Toleranz, Spannung, Dielektrikum bzw. Belastbarkeit festlegen</t>
        </is>
      </c>
    </row>
    <row r="38">
      <c r="A38" s="5" t="n">
        <v>33</v>
      </c>
      <c r="B38" s="5" t="n">
        <v>1</v>
      </c>
      <c r="C38" s="6" t="inlineStr">
        <is>
          <t>R18</t>
        </is>
      </c>
      <c r="D38" s="7" t="inlineStr">
        <is>
          <t>16,2 kΩ</t>
        </is>
      </c>
      <c r="E38" s="5" t="inlineStr">
        <is>
          <t>SMD</t>
        </is>
      </c>
      <c r="F38" s="8" t="inlineStr">
        <is>
          <t>Device:R</t>
        </is>
      </c>
      <c r="G38" s="8" t="inlineStr">
        <is>
          <t>Resistor_SMD:R_0805_2012Metric</t>
        </is>
      </c>
      <c r="H38" s="7" t="inlineStr"/>
      <c r="I38" s="7" t="inlineStr"/>
      <c r="J38" s="9" t="n"/>
      <c r="K38" s="10" t="n"/>
      <c r="L38" s="11">
        <f>IF(OR(K38="",B38=""),"",B38*K38)</f>
        <v/>
      </c>
      <c r="M38" s="13" t="n"/>
      <c r="N38" s="13" t="n"/>
      <c r="O38" s="15" t="inlineStr">
        <is>
          <t>Auswahl nötig</t>
        </is>
      </c>
      <c r="P38" s="6" t="inlineStr">
        <is>
          <t>Generisches Passivteil - Toleranz, Spannung, Dielektrikum bzw. Belastbarkeit festlegen</t>
        </is>
      </c>
    </row>
    <row r="39">
      <c r="A39" s="5" t="n">
        <v>34</v>
      </c>
      <c r="B39" s="5" t="n">
        <v>4</v>
      </c>
      <c r="C39" s="6" t="inlineStr">
        <is>
          <t>R19, R20, R21, R22</t>
        </is>
      </c>
      <c r="D39" s="7" t="inlineStr">
        <is>
          <t>5,1 kΩ</t>
        </is>
      </c>
      <c r="E39" s="5" t="inlineStr">
        <is>
          <t>SMD</t>
        </is>
      </c>
      <c r="F39" s="8" t="inlineStr">
        <is>
          <t>Device:R</t>
        </is>
      </c>
      <c r="G39" s="8" t="inlineStr">
        <is>
          <t>Resistor_SMD:R_0805_2012Metric</t>
        </is>
      </c>
      <c r="H39" s="7" t="inlineStr"/>
      <c r="I39" s="7" t="inlineStr"/>
      <c r="J39" s="9" t="n"/>
      <c r="K39" s="10" t="n"/>
      <c r="L39" s="11">
        <f>IF(OR(K39="",B39=""),"",B39*K39)</f>
        <v/>
      </c>
      <c r="M39" s="13" t="n"/>
      <c r="N39" s="13" t="n"/>
      <c r="O39" s="15" t="inlineStr">
        <is>
          <t>Auswahl nötig</t>
        </is>
      </c>
      <c r="P39" s="6" t="inlineStr">
        <is>
          <t>Generisches Passivteil - Toleranz, Spannung, Dielektrikum bzw. Belastbarkeit festlegen</t>
        </is>
      </c>
    </row>
    <row r="40">
      <c r="A40" s="5" t="n">
        <v>35</v>
      </c>
      <c r="B40" s="5" t="n">
        <v>4</v>
      </c>
      <c r="C40" s="6" t="inlineStr">
        <is>
          <t>R23, R24, R25, R26</t>
        </is>
      </c>
      <c r="D40" s="7" t="inlineStr">
        <is>
          <t>4,7k</t>
        </is>
      </c>
      <c r="E40" s="5" t="inlineStr">
        <is>
          <t>THT</t>
        </is>
      </c>
      <c r="F40" s="8" t="inlineStr">
        <is>
          <t>Device:R</t>
        </is>
      </c>
      <c r="G40" s="8" t="inlineStr">
        <is>
          <t>Resistor_THT:R_Axial_DIN0617_L17.0mm_D6.0mm_P20.32mm_Horizontal</t>
        </is>
      </c>
      <c r="H40" s="7" t="inlineStr"/>
      <c r="I40" s="7" t="inlineStr"/>
      <c r="J40" s="9" t="n"/>
      <c r="K40" s="10" t="n"/>
      <c r="L40" s="11">
        <f>IF(OR(K40="",B40=""),"",B40*K40)</f>
        <v/>
      </c>
      <c r="M40" s="13" t="n"/>
      <c r="N40" s="13" t="n"/>
      <c r="O40" s="15" t="inlineStr">
        <is>
          <t>Auswahl nötig</t>
        </is>
      </c>
      <c r="P40" s="6" t="inlineStr">
        <is>
          <t>Generisches Passivteil - Toleranz, Spannung, Dielektrikum bzw. Belastbarkeit festlegen</t>
        </is>
      </c>
    </row>
    <row r="41">
      <c r="A41" s="5" t="n">
        <v>36</v>
      </c>
      <c r="B41" s="5" t="n">
        <v>1</v>
      </c>
      <c r="C41" s="6" t="inlineStr">
        <is>
          <t>R27</t>
        </is>
      </c>
      <c r="D41" s="7" t="inlineStr">
        <is>
          <t>12,4kΩ, 1%</t>
        </is>
      </c>
      <c r="E41" s="5" t="inlineStr">
        <is>
          <t>SMD</t>
        </is>
      </c>
      <c r="F41" s="8" t="inlineStr">
        <is>
          <t>Device:R</t>
        </is>
      </c>
      <c r="G41" s="8" t="inlineStr">
        <is>
          <t>Resistor_SMD:R_0805_2012Metric</t>
        </is>
      </c>
      <c r="H41" s="7" t="inlineStr"/>
      <c r="I41" s="7" t="inlineStr"/>
      <c r="J41" s="9" t="n"/>
      <c r="K41" s="10" t="n"/>
      <c r="L41" s="11">
        <f>IF(OR(K41="",B41=""),"",B41*K41)</f>
        <v/>
      </c>
      <c r="M41" s="13" t="n"/>
      <c r="N41" s="13" t="n"/>
      <c r="O41" s="15" t="inlineStr">
        <is>
          <t>Auswahl nötig</t>
        </is>
      </c>
      <c r="P41" s="6" t="inlineStr">
        <is>
          <t>Generisches Passivteil - Toleranz, Spannung, Dielektrikum bzw. Belastbarkeit festlegen</t>
        </is>
      </c>
    </row>
    <row r="42">
      <c r="A42" s="5" t="n">
        <v>37</v>
      </c>
      <c r="B42" s="5" t="n">
        <v>5</v>
      </c>
      <c r="C42" s="6" t="inlineStr">
        <is>
          <t>R28, R29, R30, R31, R32</t>
        </is>
      </c>
      <c r="D42" s="7" t="inlineStr">
        <is>
          <t>10kΩ</t>
        </is>
      </c>
      <c r="E42" s="5" t="inlineStr">
        <is>
          <t>SMD</t>
        </is>
      </c>
      <c r="F42" s="8" t="inlineStr">
        <is>
          <t>Device:R</t>
        </is>
      </c>
      <c r="G42" s="8" t="inlineStr">
        <is>
          <t>Resistor_SMD:R_0805_2012Metric</t>
        </is>
      </c>
      <c r="H42" s="7" t="inlineStr"/>
      <c r="I42" s="7" t="inlineStr"/>
      <c r="J42" s="9" t="n"/>
      <c r="K42" s="10" t="n"/>
      <c r="L42" s="11">
        <f>IF(OR(K42="",B42=""),"",B42*K42)</f>
        <v/>
      </c>
      <c r="M42" s="13" t="n"/>
      <c r="N42" s="13" t="n"/>
      <c r="O42" s="15" t="inlineStr">
        <is>
          <t>Auswahl nötig</t>
        </is>
      </c>
      <c r="P42" s="6" t="inlineStr">
        <is>
          <t>Generisches Passivteil - Toleranz, Spannung, Dielektrikum bzw. Belastbarkeit festlegen</t>
        </is>
      </c>
    </row>
    <row r="43">
      <c r="A43" s="5" t="n">
        <v>38</v>
      </c>
      <c r="B43" s="5" t="n">
        <v>2</v>
      </c>
      <c r="C43" s="6" t="inlineStr">
        <is>
          <t>R33, R34</t>
        </is>
      </c>
      <c r="D43" s="7" t="inlineStr">
        <is>
          <t>220Ω</t>
        </is>
      </c>
      <c r="E43" s="5" t="inlineStr">
        <is>
          <t>SMD</t>
        </is>
      </c>
      <c r="F43" s="8" t="inlineStr">
        <is>
          <t>Device:R</t>
        </is>
      </c>
      <c r="G43" s="8" t="inlineStr">
        <is>
          <t>Resistor_SMD:R_0805_2012Metric</t>
        </is>
      </c>
      <c r="H43" s="7" t="inlineStr"/>
      <c r="I43" s="7" t="inlineStr"/>
      <c r="J43" s="9" t="n"/>
      <c r="K43" s="10" t="n"/>
      <c r="L43" s="11">
        <f>IF(OR(K43="",B43=""),"",B43*K43)</f>
        <v/>
      </c>
      <c r="M43" s="13" t="n"/>
      <c r="N43" s="13" t="n"/>
      <c r="O43" s="15" t="inlineStr">
        <is>
          <t>Auswahl nötig</t>
        </is>
      </c>
      <c r="P43" s="6" t="inlineStr">
        <is>
          <t>Generisches Passivteil - Toleranz, Spannung, Dielektrikum bzw. Belastbarkeit festlegen</t>
        </is>
      </c>
    </row>
    <row r="44">
      <c r="A44" s="5" t="n">
        <v>39</v>
      </c>
      <c r="B44" s="5" t="n">
        <v>1</v>
      </c>
      <c r="C44" s="6" t="inlineStr">
        <is>
          <t>R35</t>
        </is>
      </c>
      <c r="D44" s="7" t="inlineStr">
        <is>
          <t>0Ω</t>
        </is>
      </c>
      <c r="E44" s="5" t="inlineStr">
        <is>
          <t>SMD</t>
        </is>
      </c>
      <c r="F44" s="8" t="inlineStr">
        <is>
          <t>Device:R</t>
        </is>
      </c>
      <c r="G44" s="8" t="inlineStr">
        <is>
          <t>Resistor_SMD:R_0805_2012Metric</t>
        </is>
      </c>
      <c r="H44" s="7" t="inlineStr"/>
      <c r="I44" s="7" t="inlineStr"/>
      <c r="J44" s="9" t="n"/>
      <c r="K44" s="10" t="n"/>
      <c r="L44" s="11">
        <f>IF(OR(K44="",B44=""),"",B44*K44)</f>
        <v/>
      </c>
      <c r="M44" s="13" t="n"/>
      <c r="N44" s="13" t="n"/>
      <c r="O44" s="15" t="inlineStr">
        <is>
          <t>Auswahl nötig</t>
        </is>
      </c>
      <c r="P44" s="6" t="inlineStr">
        <is>
          <t>DNP - nicht bestücken · Generisches Passivteil - Toleranz, Spannung, Dielektrikum bzw. Belastbarkeit festlegen</t>
        </is>
      </c>
    </row>
    <row r="45">
      <c r="A45" s="5" t="n">
        <v>40</v>
      </c>
      <c r="B45" s="5" t="n">
        <v>4</v>
      </c>
      <c r="C45" s="6" t="inlineStr">
        <is>
          <t>R36, R37, R39, R40</t>
        </is>
      </c>
      <c r="D45" s="7" t="inlineStr">
        <is>
          <t>49,9Ω 1%</t>
        </is>
      </c>
      <c r="E45" s="5" t="inlineStr">
        <is>
          <t>SMD</t>
        </is>
      </c>
      <c r="F45" s="8" t="inlineStr">
        <is>
          <t>Device:R</t>
        </is>
      </c>
      <c r="G45" s="8" t="inlineStr">
        <is>
          <t>Resistor_SMD:R_0805_2012Metric</t>
        </is>
      </c>
      <c r="H45" s="7" t="inlineStr"/>
      <c r="I45" s="7" t="inlineStr"/>
      <c r="J45" s="9" t="n"/>
      <c r="K45" s="10" t="n"/>
      <c r="L45" s="11">
        <f>IF(OR(K45="",B45=""),"",B45*K45)</f>
        <v/>
      </c>
      <c r="M45" s="13" t="n"/>
      <c r="N45" s="13" t="n"/>
      <c r="O45" s="15" t="inlineStr">
        <is>
          <t>Auswahl nötig</t>
        </is>
      </c>
      <c r="P45" s="6" t="inlineStr">
        <is>
          <t>Generisches Passivteil - Toleranz, Spannung, Dielektrikum bzw. Belastbarkeit festlegen</t>
        </is>
      </c>
    </row>
    <row r="46">
      <c r="A46" s="5" t="n">
        <v>41</v>
      </c>
      <c r="B46" s="5" t="n">
        <v>1</v>
      </c>
      <c r="C46" s="6" t="inlineStr">
        <is>
          <t>R38</t>
        </is>
      </c>
      <c r="D46" s="7" t="inlineStr">
        <is>
          <t>10Ω 1%</t>
        </is>
      </c>
      <c r="E46" s="5" t="inlineStr">
        <is>
          <t>SMD</t>
        </is>
      </c>
      <c r="F46" s="8" t="inlineStr">
        <is>
          <t>Device:R</t>
        </is>
      </c>
      <c r="G46" s="8" t="inlineStr">
        <is>
          <t>Resistor_SMD:R_0805_2012Metric</t>
        </is>
      </c>
      <c r="H46" s="7" t="inlineStr"/>
      <c r="I46" s="7" t="inlineStr"/>
      <c r="J46" s="9" t="n"/>
      <c r="K46" s="10" t="n"/>
      <c r="L46" s="11">
        <f>IF(OR(K46="",B46=""),"",B46*K46)</f>
        <v/>
      </c>
      <c r="M46" s="13" t="n"/>
      <c r="N46" s="13" t="n"/>
      <c r="O46" s="15" t="inlineStr">
        <is>
          <t>Auswahl nötig</t>
        </is>
      </c>
      <c r="P46" s="6" t="inlineStr">
        <is>
          <t>Generisches Passivteil - Toleranz, Spannung, Dielektrikum bzw. Belastbarkeit festlegen</t>
        </is>
      </c>
    </row>
    <row r="47">
      <c r="A47" s="5" t="n">
        <v>42</v>
      </c>
      <c r="B47" s="5" t="n">
        <v>1</v>
      </c>
      <c r="C47" s="6" t="inlineStr">
        <is>
          <t>S2</t>
        </is>
      </c>
      <c r="D47" s="7" t="inlineStr">
        <is>
          <t>1543-650-149</t>
        </is>
      </c>
      <c r="E47" s="5" t="inlineStr">
        <is>
          <t>SMD</t>
        </is>
      </c>
      <c r="F47" s="8" t="inlineStr">
        <is>
          <t>1543-650-149:1543-650-149</t>
        </is>
      </c>
      <c r="G47" s="8" t="inlineStr">
        <is>
          <t>1543-650-149:1543650149</t>
        </is>
      </c>
      <c r="H47" s="7" t="inlineStr">
        <is>
          <t>Bourns</t>
        </is>
      </c>
      <c r="I47" s="7" t="inlineStr">
        <is>
          <t>1543-650-149</t>
        </is>
      </c>
      <c r="J47" s="9" t="n"/>
      <c r="K47" s="10" t="n"/>
      <c r="L47" s="11">
        <f>IF(OR(K47="",B47=""),"",B47*K47)</f>
        <v/>
      </c>
      <c r="M47" s="12" t="inlineStr">
        <is>
          <t>Suchen</t>
        </is>
      </c>
      <c r="N47" s="13" t="n"/>
      <c r="O47" s="14" t="inlineStr">
        <is>
          <t>eindeutig</t>
        </is>
      </c>
      <c r="P47" s="6" t="inlineStr"/>
    </row>
    <row r="48">
      <c r="A48" s="5" t="n">
        <v>43</v>
      </c>
      <c r="B48" s="5" t="n">
        <v>1</v>
      </c>
      <c r="C48" s="6" t="inlineStr">
        <is>
          <t>T1</t>
        </is>
      </c>
      <c r="D48" s="7" t="inlineStr">
        <is>
          <t>7499011121A</t>
        </is>
      </c>
      <c r="E48" s="5" t="inlineStr">
        <is>
          <t>SMD</t>
        </is>
      </c>
      <c r="F48" s="8" t="inlineStr">
        <is>
          <t>wuerth_rj45:7499011121A</t>
        </is>
      </c>
      <c r="G48" s="8" t="inlineStr">
        <is>
          <t>wuerth_rj45:T_Wurth_WE-RJ45LAN_7499011121A</t>
        </is>
      </c>
      <c r="H48" s="7" t="inlineStr">
        <is>
          <t>Wurth Elektronik</t>
        </is>
      </c>
      <c r="I48" s="7" t="inlineStr">
        <is>
          <t>7499011121A</t>
        </is>
      </c>
      <c r="J48" s="9" t="n"/>
      <c r="K48" s="10" t="n"/>
      <c r="L48" s="11">
        <f>IF(OR(K48="",B48=""),"",B48*K48)</f>
        <v/>
      </c>
      <c r="M48" s="12" t="inlineStr">
        <is>
          <t>Suchen</t>
        </is>
      </c>
      <c r="N48" s="12" t="inlineStr">
        <is>
          <t>Datenblatt</t>
        </is>
      </c>
      <c r="O48" s="14" t="inlineStr">
        <is>
          <t>eindeutig</t>
        </is>
      </c>
      <c r="P48" s="6" t="inlineStr"/>
    </row>
    <row r="49">
      <c r="A49" s="5" t="n">
        <v>44</v>
      </c>
      <c r="B49" s="5" t="n">
        <v>1</v>
      </c>
      <c r="C49" s="6" t="inlineStr">
        <is>
          <t>U1</t>
        </is>
      </c>
      <c r="D49" s="7" t="inlineStr">
        <is>
          <t>D3V3XA4B10LP</t>
        </is>
      </c>
      <c r="E49" s="5" t="inlineStr">
        <is>
          <t>SMD</t>
        </is>
      </c>
      <c r="F49" s="8" t="inlineStr">
        <is>
          <t>Power_Protection:D3V3XA4B10LP</t>
        </is>
      </c>
      <c r="G49" s="8" t="inlineStr">
        <is>
          <t>Package_DFN_QFN:Diodes_UDFN-10_1x2.5mm_P0.5mm</t>
        </is>
      </c>
      <c r="H49" s="7" t="inlineStr">
        <is>
          <t>Diodes Inc.</t>
        </is>
      </c>
      <c r="I49" s="7" t="inlineStr">
        <is>
          <t>D3V3XA4B10LP</t>
        </is>
      </c>
      <c r="J49" s="9" t="n"/>
      <c r="K49" s="10" t="n"/>
      <c r="L49" s="11">
        <f>IF(OR(K49="",B49=""),"",B49*K49)</f>
        <v/>
      </c>
      <c r="M49" s="12" t="inlineStr">
        <is>
          <t>Suchen</t>
        </is>
      </c>
      <c r="N49" s="12" t="inlineStr">
        <is>
          <t>Datenblatt</t>
        </is>
      </c>
      <c r="O49" s="14" t="inlineStr">
        <is>
          <t>eindeutig</t>
        </is>
      </c>
      <c r="P49" s="6" t="inlineStr"/>
    </row>
    <row r="50">
      <c r="A50" s="5" t="n">
        <v>45</v>
      </c>
      <c r="B50" s="5" t="n">
        <v>1</v>
      </c>
      <c r="C50" s="6" t="inlineStr">
        <is>
          <t>U6</t>
        </is>
      </c>
      <c r="D50" s="7" t="inlineStr">
        <is>
          <t>ESP32-S3-WROOM-1U-N16R8</t>
        </is>
      </c>
      <c r="E50" s="5" t="inlineStr">
        <is>
          <t>SMD</t>
        </is>
      </c>
      <c r="F50" s="8" t="inlineStr">
        <is>
          <t>ESP32-S3-WROOM-1U-N16R8:ESP32-S3-WROOM-1U-N16R8</t>
        </is>
      </c>
      <c r="G50" s="8" t="inlineStr">
        <is>
          <t>ESP32-S3-WROOM-1U-N16R8:ESP32-S3-WROOM-1U</t>
        </is>
      </c>
      <c r="H50" s="7" t="inlineStr">
        <is>
          <t>Espressif</t>
        </is>
      </c>
      <c r="I50" s="7" t="inlineStr">
        <is>
          <t>ESP32-S3-WROOM-1U-N16R8</t>
        </is>
      </c>
      <c r="J50" s="9" t="n"/>
      <c r="K50" s="10" t="n"/>
      <c r="L50" s="11">
        <f>IF(OR(K50="",B50=""),"",B50*K50)</f>
        <v/>
      </c>
      <c r="M50" s="12" t="inlineStr">
        <is>
          <t>Suchen</t>
        </is>
      </c>
      <c r="N50" s="12" t="inlineStr">
        <is>
          <t>Datenblatt</t>
        </is>
      </c>
      <c r="O50" s="14" t="inlineStr">
        <is>
          <t>eindeutig</t>
        </is>
      </c>
      <c r="P50" s="6" t="inlineStr"/>
    </row>
    <row r="51">
      <c r="A51" s="5" t="n">
        <v>46</v>
      </c>
      <c r="B51" s="5" t="n">
        <v>1</v>
      </c>
      <c r="C51" s="6" t="inlineStr">
        <is>
          <t>U7</t>
        </is>
      </c>
      <c r="D51" s="7" t="inlineStr">
        <is>
          <t>W5500</t>
        </is>
      </c>
      <c r="E51" s="5" t="inlineStr">
        <is>
          <t>SMD</t>
        </is>
      </c>
      <c r="F51" s="8" t="inlineStr">
        <is>
          <t>W5500:W5500</t>
        </is>
      </c>
      <c r="G51" s="8" t="inlineStr">
        <is>
          <t>W5500:48LQFP_W5500_WIZ</t>
        </is>
      </c>
      <c r="H51" s="7" t="inlineStr">
        <is>
          <t>WIZnet</t>
        </is>
      </c>
      <c r="I51" s="7" t="inlineStr">
        <is>
          <t>W5500</t>
        </is>
      </c>
      <c r="J51" s="9" t="n"/>
      <c r="K51" s="10" t="n"/>
      <c r="L51" s="11">
        <f>IF(OR(K51="",B51=""),"",B51*K51)</f>
        <v/>
      </c>
      <c r="M51" s="12" t="inlineStr">
        <is>
          <t>Suchen</t>
        </is>
      </c>
      <c r="N51" s="12" t="inlineStr">
        <is>
          <t>Datenblatt</t>
        </is>
      </c>
      <c r="O51" s="14" t="inlineStr">
        <is>
          <t>eindeutig</t>
        </is>
      </c>
      <c r="P51" s="6" t="inlineStr"/>
    </row>
    <row r="52">
      <c r="A52" s="5" t="n">
        <v>47</v>
      </c>
      <c r="B52" s="5" t="n">
        <v>1</v>
      </c>
      <c r="C52" s="6" t="inlineStr">
        <is>
          <t>Y1</t>
        </is>
      </c>
      <c r="D52" s="7" t="inlineStr">
        <is>
          <t>25 MHz</t>
        </is>
      </c>
      <c r="E52" s="5" t="inlineStr">
        <is>
          <t>SMD</t>
        </is>
      </c>
      <c r="F52" s="8" t="inlineStr">
        <is>
          <t>wuerth_xtal:CFPX-104_830059532</t>
        </is>
      </c>
      <c r="G52" s="8" t="inlineStr">
        <is>
          <t>wuerth_830059532:Y_Wurth_WE-XTAL_Quartz-CFPX-104</t>
        </is>
      </c>
      <c r="H52" s="7" t="inlineStr"/>
      <c r="I52" s="7" t="inlineStr"/>
      <c r="J52" s="9" t="n"/>
      <c r="K52" s="10" t="n"/>
      <c r="L52" s="11">
        <f>IF(OR(K52="",B52=""),"",B52*K52)</f>
        <v/>
      </c>
      <c r="M52" s="13" t="n"/>
      <c r="N52" s="12" t="inlineStr">
        <is>
          <t>Datenblatt</t>
        </is>
      </c>
      <c r="O52" s="15" t="inlineStr">
        <is>
          <t>Auswahl nötig</t>
        </is>
      </c>
      <c r="P52" s="6" t="inlineStr">
        <is>
          <t>Generisches Passivteil - Toleranz, Spannung, Dielektrikum bzw. Belastbarkeit festlegen</t>
        </is>
      </c>
    </row>
    <row r="53">
      <c r="B53" s="18">
        <f>SUM(B6:B52)</f>
        <v/>
      </c>
      <c r="C53" s="18" t="inlineStr">
        <is>
          <t>Summe</t>
        </is>
      </c>
      <c r="L53" s="19">
        <f>SUM(L6:L52)</f>
        <v/>
      </c>
    </row>
    <row r="55">
      <c r="C55" s="3" t="inlineStr">
        <is>
          <t>Hinweis: Die Summe ist erst aussagekräftig, wenn alle Einzelpreise eingetragen sind.</t>
        </is>
      </c>
    </row>
  </sheetData>
  <autoFilter ref="A5:P52"/>
  <hyperlinks>
    <hyperlink xmlns:r="http://schemas.openxmlformats.org/officeDocument/2006/relationships" ref="M6" r:id="rId1"/>
    <hyperlink xmlns:r="http://schemas.openxmlformats.org/officeDocument/2006/relationships" ref="M7" r:id="rId2"/>
    <hyperlink xmlns:r="http://schemas.openxmlformats.org/officeDocument/2006/relationships" ref="M8" r:id="rId3"/>
    <hyperlink xmlns:r="http://schemas.openxmlformats.org/officeDocument/2006/relationships" ref="M9" r:id="rId4"/>
    <hyperlink xmlns:r="http://schemas.openxmlformats.org/officeDocument/2006/relationships" ref="M21" r:id="rId5"/>
    <hyperlink xmlns:r="http://schemas.openxmlformats.org/officeDocument/2006/relationships" ref="M22" r:id="rId6"/>
    <hyperlink xmlns:r="http://schemas.openxmlformats.org/officeDocument/2006/relationships" ref="M23" r:id="rId7"/>
    <hyperlink xmlns:r="http://schemas.openxmlformats.org/officeDocument/2006/relationships" ref="M24" r:id="rId8"/>
    <hyperlink xmlns:r="http://schemas.openxmlformats.org/officeDocument/2006/relationships" ref="M25" r:id="rId9"/>
    <hyperlink xmlns:r="http://schemas.openxmlformats.org/officeDocument/2006/relationships" ref="N25" r:id="rId10"/>
    <hyperlink xmlns:r="http://schemas.openxmlformats.org/officeDocument/2006/relationships" ref="M26" r:id="rId11"/>
    <hyperlink xmlns:r="http://schemas.openxmlformats.org/officeDocument/2006/relationships" ref="N26" r:id="rId12"/>
    <hyperlink xmlns:r="http://schemas.openxmlformats.org/officeDocument/2006/relationships" ref="M29" r:id="rId13"/>
    <hyperlink xmlns:r="http://schemas.openxmlformats.org/officeDocument/2006/relationships" ref="N29" r:id="rId14"/>
    <hyperlink xmlns:r="http://schemas.openxmlformats.org/officeDocument/2006/relationships" ref="M30" r:id="rId15"/>
    <hyperlink xmlns:r="http://schemas.openxmlformats.org/officeDocument/2006/relationships" ref="M31" r:id="rId16"/>
    <hyperlink xmlns:r="http://schemas.openxmlformats.org/officeDocument/2006/relationships" ref="N31" r:id="rId17"/>
    <hyperlink xmlns:r="http://schemas.openxmlformats.org/officeDocument/2006/relationships" ref="M32" r:id="rId18"/>
    <hyperlink xmlns:r="http://schemas.openxmlformats.org/officeDocument/2006/relationships" ref="M33" r:id="rId19"/>
    <hyperlink xmlns:r="http://schemas.openxmlformats.org/officeDocument/2006/relationships" ref="N33" r:id="rId20"/>
    <hyperlink xmlns:r="http://schemas.openxmlformats.org/officeDocument/2006/relationships" ref="M34" r:id="rId21"/>
    <hyperlink xmlns:r="http://schemas.openxmlformats.org/officeDocument/2006/relationships" ref="N34" r:id="rId22"/>
    <hyperlink xmlns:r="http://schemas.openxmlformats.org/officeDocument/2006/relationships" ref="M47" r:id="rId23"/>
    <hyperlink xmlns:r="http://schemas.openxmlformats.org/officeDocument/2006/relationships" ref="M48" r:id="rId24"/>
    <hyperlink xmlns:r="http://schemas.openxmlformats.org/officeDocument/2006/relationships" ref="N48" r:id="rId25"/>
    <hyperlink xmlns:r="http://schemas.openxmlformats.org/officeDocument/2006/relationships" ref="M49" r:id="rId26"/>
    <hyperlink xmlns:r="http://schemas.openxmlformats.org/officeDocument/2006/relationships" ref="N49" r:id="rId27"/>
    <hyperlink xmlns:r="http://schemas.openxmlformats.org/officeDocument/2006/relationships" ref="M50" r:id="rId28"/>
    <hyperlink xmlns:r="http://schemas.openxmlformats.org/officeDocument/2006/relationships" ref="N50" r:id="rId29"/>
    <hyperlink xmlns:r="http://schemas.openxmlformats.org/officeDocument/2006/relationships" ref="M51" r:id="rId30"/>
    <hyperlink xmlns:r="http://schemas.openxmlformats.org/officeDocument/2006/relationships" ref="N51" r:id="rId31"/>
    <hyperlink xmlns:r="http://schemas.openxmlformats.org/officeDocument/2006/relationships" ref="N52" r:id="rId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8" customWidth="1" min="3" max="3"/>
    <col width="40" customWidth="1" min="4" max="4"/>
    <col width="46" customWidth="1" min="5" max="5"/>
    <col width="30" customWidth="1" min="6" max="6"/>
    <col width="22" customWidth="1" min="7" max="7"/>
    <col width="22" customWidth="1" min="8" max="8"/>
    <col width="46" customWidth="1" min="9" max="9"/>
    <col width="26" customWidth="1" min="10" max="10"/>
  </cols>
  <sheetData>
    <row r="1">
      <c r="A1" s="1" t="inlineStr">
        <is>
          <t>Einzelpositionen - jede Referenz aus dem Schaltplan</t>
        </is>
      </c>
    </row>
    <row r="2">
      <c r="A2" s="2" t="inlineStr">
        <is>
          <t>Zum Abgleich von Symbol und Footprint gegen den Schaltplan. 78 Zeilen = 76 auf der Platine + ANT1/ANT2 (externe Teile).</t>
        </is>
      </c>
    </row>
    <row r="4" ht="30" customHeight="1">
      <c r="A4" s="4" t="inlineStr">
        <is>
          <t>Referenz</t>
        </is>
      </c>
      <c r="B4" s="4" t="inlineStr">
        <is>
          <t>Wert</t>
        </is>
      </c>
      <c r="C4" s="4" t="inlineStr">
        <is>
          <t>Technik</t>
        </is>
      </c>
      <c r="D4" s="4" t="inlineStr">
        <is>
          <t>Symbol (lib_id)</t>
        </is>
      </c>
      <c r="E4" s="4" t="inlineStr">
        <is>
          <t>Footprint</t>
        </is>
      </c>
      <c r="F4" s="4" t="inlineStr">
        <is>
          <t>Blatt</t>
        </is>
      </c>
      <c r="G4" s="4" t="inlineStr">
        <is>
          <t>Hersteller</t>
        </is>
      </c>
      <c r="H4" s="4" t="inlineStr">
        <is>
          <t>Hersteller-Teilenr.</t>
        </is>
      </c>
      <c r="I4" s="4" t="inlineStr">
        <is>
          <t>Beschreibung</t>
        </is>
      </c>
      <c r="J4" s="4" t="inlineStr">
        <is>
          <t>Bemerkung</t>
        </is>
      </c>
    </row>
    <row r="5">
      <c r="A5" s="5" t="inlineStr">
        <is>
          <t>ANT1</t>
        </is>
      </c>
      <c r="B5" s="7" t="inlineStr">
        <is>
          <t>CAB.6061</t>
        </is>
      </c>
      <c r="C5" s="5" t="inlineStr"/>
      <c r="D5" s="8" t="inlineStr">
        <is>
          <t>mechanical:WLAN_Pigtail</t>
        </is>
      </c>
      <c r="E5" s="8" t="inlineStr"/>
      <c r="F5" s="20" t="inlineStr">
        <is>
          <t>BasisStation_Layout.kicad_sch</t>
        </is>
      </c>
      <c r="G5" s="7" t="inlineStr">
        <is>
          <t>Taoglas</t>
        </is>
      </c>
      <c r="H5" s="7" t="inlineStr"/>
      <c r="I5" s="6" t="inlineStr">
        <is>
          <t>U.FL to RP-SMA female bulkhead, 100 mm</t>
        </is>
      </c>
      <c r="J5" s="5" t="inlineStr">
        <is>
          <t>nicht auf Platine</t>
        </is>
      </c>
    </row>
    <row r="6">
      <c r="A6" s="5" t="inlineStr">
        <is>
          <t>ANT2</t>
        </is>
      </c>
      <c r="B6" s="7" t="inlineStr">
        <is>
          <t>GW.20.5150</t>
        </is>
      </c>
      <c r="C6" s="5" t="inlineStr"/>
      <c r="D6" s="8" t="inlineStr">
        <is>
          <t>mechanical:WLAN_Antenna</t>
        </is>
      </c>
      <c r="E6" s="8" t="inlineStr"/>
      <c r="F6" s="20" t="inlineStr">
        <is>
          <t>BasisStation_Layout.kicad_sch</t>
        </is>
      </c>
      <c r="G6" s="7" t="inlineStr">
        <is>
          <t>Taoglas</t>
        </is>
      </c>
      <c r="H6" s="7" t="inlineStr"/>
      <c r="I6" s="6" t="inlineStr">
        <is>
          <t>2.4 GHz dipole antenna, RP-SMA male</t>
        </is>
      </c>
      <c r="J6" s="5" t="inlineStr">
        <is>
          <t>nicht auf Platine</t>
        </is>
      </c>
    </row>
    <row r="7">
      <c r="A7" s="5" t="inlineStr">
        <is>
          <t>C7</t>
        </is>
      </c>
      <c r="B7" s="7" t="inlineStr">
        <is>
          <t>WCAP-FTXX_P10</t>
        </is>
      </c>
      <c r="C7" s="5" t="inlineStr">
        <is>
          <t>SMD</t>
        </is>
      </c>
      <c r="D7" s="8" t="inlineStr">
        <is>
          <t>WCAP-FTXX_P10:WCAP-FTXX_P10</t>
        </is>
      </c>
      <c r="E7" s="8" t="inlineStr">
        <is>
          <t>WCAP-FTXX_P10:WCAP-FTXX_P10L13W7H13</t>
        </is>
      </c>
      <c r="F7" s="20" t="inlineStr">
        <is>
          <t>BasisStation_Layout.kicad_sch</t>
        </is>
      </c>
      <c r="G7" s="7" t="inlineStr">
        <is>
          <t>Würth Elektronik</t>
        </is>
      </c>
      <c r="H7" s="7" t="inlineStr">
        <is>
          <t>890334023023</t>
        </is>
      </c>
      <c r="I7" s="6" t="inlineStr"/>
      <c r="J7" s="5" t="inlineStr"/>
    </row>
    <row r="8">
      <c r="A8" s="5" t="inlineStr">
        <is>
          <t>C8</t>
        </is>
      </c>
      <c r="B8" s="7" t="inlineStr">
        <is>
          <t>WCAP-PT5H_6.3X5.2</t>
        </is>
      </c>
      <c r="C8" s="5" t="inlineStr">
        <is>
          <t>SMD</t>
        </is>
      </c>
      <c r="D8" s="8" t="inlineStr">
        <is>
          <t>WCAP-PT5H_6.3X5.2:WCAP-PT5H_6.3X5.2</t>
        </is>
      </c>
      <c r="E8" s="8" t="inlineStr">
        <is>
          <t>WCAP-PT5H_6.3X5.2:WCAP-PT5H_6.3X5.2_DXL_</t>
        </is>
      </c>
      <c r="F8" s="20" t="inlineStr">
        <is>
          <t>BasisStation_Layout.kicad_sch</t>
        </is>
      </c>
      <c r="G8" s="7" t="inlineStr">
        <is>
          <t>Wurth Elektronik</t>
        </is>
      </c>
      <c r="H8" s="7" t="inlineStr">
        <is>
          <t>870235673001</t>
        </is>
      </c>
      <c r="I8" s="6" t="inlineStr"/>
      <c r="J8" s="5" t="inlineStr"/>
    </row>
    <row r="9">
      <c r="A9" s="5" t="inlineStr">
        <is>
          <t>C10</t>
        </is>
      </c>
      <c r="B9" s="7" t="inlineStr">
        <is>
          <t>WCAP-FTXX_P10</t>
        </is>
      </c>
      <c r="C9" s="5" t="inlineStr">
        <is>
          <t>SMD</t>
        </is>
      </c>
      <c r="D9" s="8" t="inlineStr">
        <is>
          <t>WCAP-FTXX_P10:WCAP-FTXX_P10</t>
        </is>
      </c>
      <c r="E9" s="8" t="inlineStr">
        <is>
          <t>WCAP-FTXX_P10:WCAP-FTXX_P10L13W7H13</t>
        </is>
      </c>
      <c r="F9" s="20" t="inlineStr">
        <is>
          <t>BasisStation_Layout.kicad_sch</t>
        </is>
      </c>
      <c r="G9" s="7" t="inlineStr">
        <is>
          <t>Würth Elektronik</t>
        </is>
      </c>
      <c r="H9" s="7" t="inlineStr">
        <is>
          <t>890334023023</t>
        </is>
      </c>
      <c r="I9" s="6" t="inlineStr"/>
      <c r="J9" s="5" t="inlineStr"/>
    </row>
    <row r="10">
      <c r="A10" s="5" t="inlineStr">
        <is>
          <t>C12</t>
        </is>
      </c>
      <c r="B10" s="7" t="inlineStr">
        <is>
          <t>WCAP-FTXX_P10</t>
        </is>
      </c>
      <c r="C10" s="5" t="inlineStr">
        <is>
          <t>SMD</t>
        </is>
      </c>
      <c r="D10" s="8" t="inlineStr">
        <is>
          <t>WCAP-FTXX_P10:WCAP-FTXX_P10</t>
        </is>
      </c>
      <c r="E10" s="8" t="inlineStr">
        <is>
          <t>WCAP-FTXX_P10:WCAP-FTXX_P10L13W7H13</t>
        </is>
      </c>
      <c r="F10" s="20" t="inlineStr">
        <is>
          <t>BasisStation_Layout.kicad_sch</t>
        </is>
      </c>
      <c r="G10" s="7" t="inlineStr">
        <is>
          <t>Würth Elektronik</t>
        </is>
      </c>
      <c r="H10" s="7" t="inlineStr">
        <is>
          <t>890334023023</t>
        </is>
      </c>
      <c r="I10" s="6" t="inlineStr"/>
      <c r="J10" s="5" t="inlineStr"/>
    </row>
    <row r="11">
      <c r="A11" s="5" t="inlineStr">
        <is>
          <t>C13</t>
        </is>
      </c>
      <c r="B11" s="7" t="inlineStr">
        <is>
          <t>10uF</t>
        </is>
      </c>
      <c r="C11" s="5" t="inlineStr">
        <is>
          <t>SMD</t>
        </is>
      </c>
      <c r="D11" s="8" t="inlineStr">
        <is>
          <t>Device:C</t>
        </is>
      </c>
      <c r="E11" s="8" t="inlineStr">
        <is>
          <t>Capacitor_SMD:C_0805_2012Metric</t>
        </is>
      </c>
      <c r="F11" s="20" t="inlineStr">
        <is>
          <t>Stromversorgung.kicad_sch</t>
        </is>
      </c>
      <c r="G11" s="7" t="inlineStr"/>
      <c r="H11" s="7" t="inlineStr"/>
      <c r="I11" s="6" t="inlineStr">
        <is>
          <t>Unpolarized capacitor</t>
        </is>
      </c>
      <c r="J11" s="5" t="inlineStr"/>
    </row>
    <row r="12">
      <c r="A12" s="5" t="inlineStr">
        <is>
          <t>C14</t>
        </is>
      </c>
      <c r="B12" s="7" t="inlineStr">
        <is>
          <t>22uF</t>
        </is>
      </c>
      <c r="C12" s="5" t="inlineStr">
        <is>
          <t>SMD</t>
        </is>
      </c>
      <c r="D12" s="8" t="inlineStr">
        <is>
          <t>Device:C</t>
        </is>
      </c>
      <c r="E12" s="8" t="inlineStr">
        <is>
          <t>Capacitor_SMD:C_0805_2012Metric</t>
        </is>
      </c>
      <c r="F12" s="20" t="inlineStr">
        <is>
          <t>Stromversorgung.kicad_sch</t>
        </is>
      </c>
      <c r="G12" s="7" t="inlineStr"/>
      <c r="H12" s="7" t="inlineStr"/>
      <c r="I12" s="6" t="inlineStr">
        <is>
          <t>Unpolarized capacitor</t>
        </is>
      </c>
      <c r="J12" s="5" t="inlineStr"/>
    </row>
    <row r="13">
      <c r="A13" s="5" t="inlineStr">
        <is>
          <t>C15</t>
        </is>
      </c>
      <c r="B13" s="7" t="inlineStr">
        <is>
          <t>100 nF</t>
        </is>
      </c>
      <c r="C13" s="5" t="inlineStr">
        <is>
          <t>SMD</t>
        </is>
      </c>
      <c r="D13" s="8" t="inlineStr">
        <is>
          <t>Device:C</t>
        </is>
      </c>
      <c r="E13" s="8" t="inlineStr">
        <is>
          <t>Capacitor_SMD:C_0805_2012Metric</t>
        </is>
      </c>
      <c r="F13" s="20" t="inlineStr">
        <is>
          <t>Stromversorgung.kicad_sch</t>
        </is>
      </c>
      <c r="G13" s="7" t="inlineStr"/>
      <c r="H13" s="7" t="inlineStr"/>
      <c r="I13" s="6" t="inlineStr">
        <is>
          <t>Unpolarized capacitor</t>
        </is>
      </c>
      <c r="J13" s="5" t="inlineStr"/>
    </row>
    <row r="14">
      <c r="A14" s="5" t="inlineStr">
        <is>
          <t>C16</t>
        </is>
      </c>
      <c r="B14" s="7" t="inlineStr">
        <is>
          <t>100nF</t>
        </is>
      </c>
      <c r="C14" s="5" t="inlineStr">
        <is>
          <t>SMD</t>
        </is>
      </c>
      <c r="D14" s="8" t="inlineStr">
        <is>
          <t>Device:C</t>
        </is>
      </c>
      <c r="E14" s="8" t="inlineStr">
        <is>
          <t>Capacitor_SMD:C_0805_2012Metric</t>
        </is>
      </c>
      <c r="F14" s="20" t="inlineStr">
        <is>
          <t>ethernet.kicad_sch</t>
        </is>
      </c>
      <c r="G14" s="7" t="inlineStr"/>
      <c r="H14" s="7" t="inlineStr"/>
      <c r="I14" s="6" t="inlineStr">
        <is>
          <t>Unpolarized capacitor</t>
        </is>
      </c>
      <c r="J14" s="5" t="inlineStr"/>
    </row>
    <row r="15">
      <c r="A15" s="5" t="inlineStr">
        <is>
          <t>C17</t>
        </is>
      </c>
      <c r="B15" s="7" t="inlineStr">
        <is>
          <t>100nF</t>
        </is>
      </c>
      <c r="C15" s="5" t="inlineStr">
        <is>
          <t>SMD</t>
        </is>
      </c>
      <c r="D15" s="8" t="inlineStr">
        <is>
          <t>Device:C</t>
        </is>
      </c>
      <c r="E15" s="8" t="inlineStr">
        <is>
          <t>Capacitor_SMD:C_0805_2012Metric</t>
        </is>
      </c>
      <c r="F15" s="20" t="inlineStr">
        <is>
          <t>ethernet.kicad_sch</t>
        </is>
      </c>
      <c r="G15" s="7" t="inlineStr"/>
      <c r="H15" s="7" t="inlineStr"/>
      <c r="I15" s="6" t="inlineStr">
        <is>
          <t>Unpolarized capacitor</t>
        </is>
      </c>
      <c r="J15" s="5" t="inlineStr"/>
    </row>
    <row r="16">
      <c r="A16" s="5" t="inlineStr">
        <is>
          <t>C18</t>
        </is>
      </c>
      <c r="B16" s="7" t="inlineStr">
        <is>
          <t>100nF</t>
        </is>
      </c>
      <c r="C16" s="5" t="inlineStr">
        <is>
          <t>SMD</t>
        </is>
      </c>
      <c r="D16" s="8" t="inlineStr">
        <is>
          <t>Device:C</t>
        </is>
      </c>
      <c r="E16" s="8" t="inlineStr">
        <is>
          <t>Capacitor_SMD:C_0805_2012Metric</t>
        </is>
      </c>
      <c r="F16" s="20" t="inlineStr">
        <is>
          <t>ethernet.kicad_sch</t>
        </is>
      </c>
      <c r="G16" s="7" t="inlineStr"/>
      <c r="H16" s="7" t="inlineStr"/>
      <c r="I16" s="6" t="inlineStr">
        <is>
          <t>Unpolarized capacitor</t>
        </is>
      </c>
      <c r="J16" s="5" t="inlineStr"/>
    </row>
    <row r="17">
      <c r="A17" s="5" t="inlineStr">
        <is>
          <t>C19</t>
        </is>
      </c>
      <c r="B17" s="7" t="inlineStr">
        <is>
          <t>100nF</t>
        </is>
      </c>
      <c r="C17" s="5" t="inlineStr">
        <is>
          <t>SMD</t>
        </is>
      </c>
      <c r="D17" s="8" t="inlineStr">
        <is>
          <t>Device:C</t>
        </is>
      </c>
      <c r="E17" s="8" t="inlineStr">
        <is>
          <t>Capacitor_SMD:C_0805_2012Metric</t>
        </is>
      </c>
      <c r="F17" s="20" t="inlineStr">
        <is>
          <t>ethernet.kicad_sch</t>
        </is>
      </c>
      <c r="G17" s="7" t="inlineStr"/>
      <c r="H17" s="7" t="inlineStr"/>
      <c r="I17" s="6" t="inlineStr">
        <is>
          <t>Unpolarized capacitor</t>
        </is>
      </c>
      <c r="J17" s="5" t="inlineStr"/>
    </row>
    <row r="18">
      <c r="A18" s="5" t="inlineStr">
        <is>
          <t>C20</t>
        </is>
      </c>
      <c r="B18" s="7" t="inlineStr">
        <is>
          <t>100nF</t>
        </is>
      </c>
      <c r="C18" s="5" t="inlineStr">
        <is>
          <t>SMD</t>
        </is>
      </c>
      <c r="D18" s="8" t="inlineStr">
        <is>
          <t>Device:C</t>
        </is>
      </c>
      <c r="E18" s="8" t="inlineStr">
        <is>
          <t>Capacitor_SMD:C_0805_2012Metric</t>
        </is>
      </c>
      <c r="F18" s="20" t="inlineStr">
        <is>
          <t>ethernet.kicad_sch</t>
        </is>
      </c>
      <c r="G18" s="7" t="inlineStr"/>
      <c r="H18" s="7" t="inlineStr"/>
      <c r="I18" s="6" t="inlineStr">
        <is>
          <t>Unpolarized capacitor</t>
        </is>
      </c>
      <c r="J18" s="5" t="inlineStr"/>
    </row>
    <row r="19">
      <c r="A19" s="5" t="inlineStr">
        <is>
          <t>C21</t>
        </is>
      </c>
      <c r="B19" s="7" t="inlineStr">
        <is>
          <t>100nF</t>
        </is>
      </c>
      <c r="C19" s="5" t="inlineStr">
        <is>
          <t>SMD</t>
        </is>
      </c>
      <c r="D19" s="8" t="inlineStr">
        <is>
          <t>Device:C</t>
        </is>
      </c>
      <c r="E19" s="8" t="inlineStr">
        <is>
          <t>Capacitor_SMD:C_0805_2012Metric</t>
        </is>
      </c>
      <c r="F19" s="20" t="inlineStr">
        <is>
          <t>ethernet.kicad_sch</t>
        </is>
      </c>
      <c r="G19" s="7" t="inlineStr"/>
      <c r="H19" s="7" t="inlineStr"/>
      <c r="I19" s="6" t="inlineStr">
        <is>
          <t>Unpolarized capacitor</t>
        </is>
      </c>
      <c r="J19" s="5" t="inlineStr"/>
    </row>
    <row r="20">
      <c r="A20" s="5" t="inlineStr">
        <is>
          <t>C22</t>
        </is>
      </c>
      <c r="B20" s="7" t="inlineStr">
        <is>
          <t>100nF</t>
        </is>
      </c>
      <c r="C20" s="5" t="inlineStr">
        <is>
          <t>SMD</t>
        </is>
      </c>
      <c r="D20" s="8" t="inlineStr">
        <is>
          <t>Device:C</t>
        </is>
      </c>
      <c r="E20" s="8" t="inlineStr">
        <is>
          <t>Capacitor_SMD:C_0805_2012Metric</t>
        </is>
      </c>
      <c r="F20" s="20" t="inlineStr">
        <is>
          <t>ethernet.kicad_sch</t>
        </is>
      </c>
      <c r="G20" s="7" t="inlineStr"/>
      <c r="H20" s="7" t="inlineStr"/>
      <c r="I20" s="6" t="inlineStr">
        <is>
          <t>Unpolarized capacitor</t>
        </is>
      </c>
      <c r="J20" s="5" t="inlineStr"/>
    </row>
    <row r="21">
      <c r="A21" s="5" t="inlineStr">
        <is>
          <t>C23</t>
        </is>
      </c>
      <c r="B21" s="7" t="inlineStr">
        <is>
          <t>4,7 µF</t>
        </is>
      </c>
      <c r="C21" s="5" t="inlineStr">
        <is>
          <t>SMD</t>
        </is>
      </c>
      <c r="D21" s="8" t="inlineStr">
        <is>
          <t>Device:C</t>
        </is>
      </c>
      <c r="E21" s="8" t="inlineStr">
        <is>
          <t>Capacitor_SMD:C_0805_2012Metric</t>
        </is>
      </c>
      <c r="F21" s="20" t="inlineStr">
        <is>
          <t>ethernet.kicad_sch</t>
        </is>
      </c>
      <c r="G21" s="7" t="inlineStr"/>
      <c r="H21" s="7" t="inlineStr"/>
      <c r="I21" s="6" t="inlineStr">
        <is>
          <t>Unpolarized capacitor</t>
        </is>
      </c>
      <c r="J21" s="5" t="inlineStr"/>
    </row>
    <row r="22">
      <c r="A22" s="5" t="inlineStr">
        <is>
          <t>C24</t>
        </is>
      </c>
      <c r="B22" s="7" t="inlineStr">
        <is>
          <t>10nF</t>
        </is>
      </c>
      <c r="C22" s="5" t="inlineStr">
        <is>
          <t>SMD</t>
        </is>
      </c>
      <c r="D22" s="8" t="inlineStr">
        <is>
          <t>Device:C</t>
        </is>
      </c>
      <c r="E22" s="8" t="inlineStr">
        <is>
          <t>Capacitor_SMD:C_0805_2012Metric</t>
        </is>
      </c>
      <c r="F22" s="20" t="inlineStr">
        <is>
          <t>ethernet.kicad_sch</t>
        </is>
      </c>
      <c r="G22" s="7" t="inlineStr"/>
      <c r="H22" s="7" t="inlineStr"/>
      <c r="I22" s="6" t="inlineStr">
        <is>
          <t>Unpolarized capacitor</t>
        </is>
      </c>
      <c r="J22" s="5" t="inlineStr"/>
    </row>
    <row r="23">
      <c r="A23" s="5" t="inlineStr">
        <is>
          <t>C25</t>
        </is>
      </c>
      <c r="B23" s="7" t="inlineStr">
        <is>
          <t>27 pF</t>
        </is>
      </c>
      <c r="C23" s="5" t="inlineStr">
        <is>
          <t>SMD</t>
        </is>
      </c>
      <c r="D23" s="8" t="inlineStr">
        <is>
          <t>Device:C</t>
        </is>
      </c>
      <c r="E23" s="8" t="inlineStr">
        <is>
          <t>Capacitor_SMD:C_0805_2012Metric</t>
        </is>
      </c>
      <c r="F23" s="20" t="inlineStr">
        <is>
          <t>ethernet.kicad_sch</t>
        </is>
      </c>
      <c r="G23" s="7" t="inlineStr"/>
      <c r="H23" s="7" t="inlineStr"/>
      <c r="I23" s="6" t="inlineStr">
        <is>
          <t>Unpolarized capacitor</t>
        </is>
      </c>
      <c r="J23" s="5" t="inlineStr"/>
    </row>
    <row r="24">
      <c r="A24" s="5" t="inlineStr">
        <is>
          <t>C26</t>
        </is>
      </c>
      <c r="B24" s="7" t="inlineStr">
        <is>
          <t>27 pF</t>
        </is>
      </c>
      <c r="C24" s="5" t="inlineStr">
        <is>
          <t>SMD</t>
        </is>
      </c>
      <c r="D24" s="8" t="inlineStr">
        <is>
          <t>Device:C</t>
        </is>
      </c>
      <c r="E24" s="8" t="inlineStr">
        <is>
          <t>Capacitor_SMD:C_0805_2012Metric</t>
        </is>
      </c>
      <c r="F24" s="20" t="inlineStr">
        <is>
          <t>ethernet.kicad_sch</t>
        </is>
      </c>
      <c r="G24" s="7" t="inlineStr"/>
      <c r="H24" s="7" t="inlineStr"/>
      <c r="I24" s="6" t="inlineStr">
        <is>
          <t>Unpolarized capacitor</t>
        </is>
      </c>
      <c r="J24" s="5" t="inlineStr"/>
    </row>
    <row r="25">
      <c r="A25" s="5" t="inlineStr">
        <is>
          <t>C27</t>
        </is>
      </c>
      <c r="B25" s="7" t="inlineStr">
        <is>
          <t>10 µF</t>
        </is>
      </c>
      <c r="C25" s="5" t="inlineStr">
        <is>
          <t>SMD</t>
        </is>
      </c>
      <c r="D25" s="8" t="inlineStr">
        <is>
          <t>Device:C</t>
        </is>
      </c>
      <c r="E25" s="8" t="inlineStr">
        <is>
          <t>Capacitor_SMD:C_0805_2012Metric</t>
        </is>
      </c>
      <c r="F25" s="20" t="inlineStr">
        <is>
          <t>ethernet.kicad_sch</t>
        </is>
      </c>
      <c r="G25" s="7" t="inlineStr"/>
      <c r="H25" s="7" t="inlineStr"/>
      <c r="I25" s="6" t="inlineStr">
        <is>
          <t>Unpolarized capacitor</t>
        </is>
      </c>
      <c r="J25" s="5" t="inlineStr"/>
    </row>
    <row r="26">
      <c r="A26" s="5" t="inlineStr">
        <is>
          <t>C28</t>
        </is>
      </c>
      <c r="B26" s="7" t="inlineStr">
        <is>
          <t>1nF/2kV</t>
        </is>
      </c>
      <c r="C26" s="5" t="inlineStr">
        <is>
          <t>SMD</t>
        </is>
      </c>
      <c r="D26" s="8" t="inlineStr">
        <is>
          <t>Device:C</t>
        </is>
      </c>
      <c r="E26" s="8" t="inlineStr">
        <is>
          <t>Capacitor_SMD:C_1206_3216Metric</t>
        </is>
      </c>
      <c r="F26" s="20" t="inlineStr">
        <is>
          <t>ethernet.kicad_sch</t>
        </is>
      </c>
      <c r="G26" s="7" t="inlineStr"/>
      <c r="H26" s="7" t="inlineStr"/>
      <c r="I26" s="6" t="inlineStr">
        <is>
          <t>Unpolarized capacitor</t>
        </is>
      </c>
      <c r="J26" s="5" t="inlineStr"/>
    </row>
    <row r="27">
      <c r="A27" s="5" t="inlineStr">
        <is>
          <t>C29</t>
        </is>
      </c>
      <c r="B27" s="7" t="inlineStr">
        <is>
          <t>6,8nF</t>
        </is>
      </c>
      <c r="C27" s="5" t="inlineStr">
        <is>
          <t>SMD</t>
        </is>
      </c>
      <c r="D27" s="8" t="inlineStr">
        <is>
          <t>Device:C</t>
        </is>
      </c>
      <c r="E27" s="8" t="inlineStr">
        <is>
          <t>Capacitor_SMD:C_0805_2012Metric</t>
        </is>
      </c>
      <c r="F27" s="20" t="inlineStr">
        <is>
          <t>ethernet.kicad_sch</t>
        </is>
      </c>
      <c r="G27" s="7" t="inlineStr"/>
      <c r="H27" s="7" t="inlineStr"/>
      <c r="I27" s="6" t="inlineStr">
        <is>
          <t>Unpolarized capacitor</t>
        </is>
      </c>
      <c r="J27" s="5" t="inlineStr"/>
    </row>
    <row r="28">
      <c r="A28" s="5" t="inlineStr">
        <is>
          <t>C30</t>
        </is>
      </c>
      <c r="B28" s="7" t="inlineStr">
        <is>
          <t>6,8nF</t>
        </is>
      </c>
      <c r="C28" s="5" t="inlineStr">
        <is>
          <t>SMD</t>
        </is>
      </c>
      <c r="D28" s="8" t="inlineStr">
        <is>
          <t>Device:C</t>
        </is>
      </c>
      <c r="E28" s="8" t="inlineStr">
        <is>
          <t>Capacitor_SMD:C_0805_2012Metric</t>
        </is>
      </c>
      <c r="F28" s="20" t="inlineStr">
        <is>
          <t>ethernet.kicad_sch</t>
        </is>
      </c>
      <c r="G28" s="7" t="inlineStr"/>
      <c r="H28" s="7" t="inlineStr"/>
      <c r="I28" s="6" t="inlineStr">
        <is>
          <t>Unpolarized capacitor</t>
        </is>
      </c>
      <c r="J28" s="5" t="inlineStr"/>
    </row>
    <row r="29">
      <c r="A29" s="5" t="inlineStr">
        <is>
          <t>C31</t>
        </is>
      </c>
      <c r="B29" s="7" t="inlineStr">
        <is>
          <t>10nF</t>
        </is>
      </c>
      <c r="C29" s="5" t="inlineStr">
        <is>
          <t>SMD</t>
        </is>
      </c>
      <c r="D29" s="8" t="inlineStr">
        <is>
          <t>Device:C</t>
        </is>
      </c>
      <c r="E29" s="8" t="inlineStr">
        <is>
          <t>Capacitor_SMD:C_0805_2012Metric</t>
        </is>
      </c>
      <c r="F29" s="20" t="inlineStr">
        <is>
          <t>ethernet.kicad_sch</t>
        </is>
      </c>
      <c r="G29" s="7" t="inlineStr"/>
      <c r="H29" s="7" t="inlineStr"/>
      <c r="I29" s="6" t="inlineStr">
        <is>
          <t>Unpolarized capacitor</t>
        </is>
      </c>
      <c r="J29" s="5" t="inlineStr"/>
    </row>
    <row r="30">
      <c r="A30" s="5" t="inlineStr">
        <is>
          <t>C32</t>
        </is>
      </c>
      <c r="B30" s="7" t="inlineStr">
        <is>
          <t>22nF</t>
        </is>
      </c>
      <c r="C30" s="5" t="inlineStr">
        <is>
          <t>SMD</t>
        </is>
      </c>
      <c r="D30" s="8" t="inlineStr">
        <is>
          <t>Device:C</t>
        </is>
      </c>
      <c r="E30" s="8" t="inlineStr">
        <is>
          <t>Capacitor_SMD:C_0805_2012Metric</t>
        </is>
      </c>
      <c r="F30" s="20" t="inlineStr">
        <is>
          <t>ethernet.kicad_sch</t>
        </is>
      </c>
      <c r="G30" s="7" t="inlineStr"/>
      <c r="H30" s="7" t="inlineStr"/>
      <c r="I30" s="6" t="inlineStr">
        <is>
          <t>Unpolarized capacitor</t>
        </is>
      </c>
      <c r="J30" s="5" t="inlineStr"/>
    </row>
    <row r="31">
      <c r="A31" s="5" t="inlineStr">
        <is>
          <t>D7</t>
        </is>
      </c>
      <c r="B31" s="7" t="inlineStr">
        <is>
          <t>YELLOW</t>
        </is>
      </c>
      <c r="C31" s="5" t="inlineStr">
        <is>
          <t>SMD</t>
        </is>
      </c>
      <c r="D31" s="8" t="inlineStr">
        <is>
          <t>WL-TMRC_3MM:WL-TMRC_3MM</t>
        </is>
      </c>
      <c r="E31" s="8" t="inlineStr">
        <is>
          <t>WL-TMRC_3MM:WL-TMRC_3MM</t>
        </is>
      </c>
      <c r="F31" s="20" t="inlineStr">
        <is>
          <t>BasisStation_Layout.kicad_sch</t>
        </is>
      </c>
      <c r="G31" s="7" t="inlineStr">
        <is>
          <t>Wurth Electronics</t>
        </is>
      </c>
      <c r="H31" s="7" t="inlineStr">
        <is>
          <t>151031YS05900</t>
        </is>
      </c>
      <c r="I31" s="6" t="inlineStr"/>
      <c r="J31" s="5" t="inlineStr"/>
    </row>
    <row r="32">
      <c r="A32" s="5" t="inlineStr">
        <is>
          <t>D8</t>
        </is>
      </c>
      <c r="B32" s="7" t="inlineStr">
        <is>
          <t>BLUE</t>
        </is>
      </c>
      <c r="C32" s="5" t="inlineStr">
        <is>
          <t>SMD</t>
        </is>
      </c>
      <c r="D32" s="8" t="inlineStr">
        <is>
          <t>Device:LED</t>
        </is>
      </c>
      <c r="E32" s="8" t="inlineStr">
        <is>
          <t>WL-TMRW_3MM:WL-TMRW_3MM</t>
        </is>
      </c>
      <c r="F32" s="20" t="inlineStr">
        <is>
          <t>BasisStation_Layout.kicad_sch</t>
        </is>
      </c>
      <c r="G32" s="7" t="inlineStr"/>
      <c r="H32" s="7" t="inlineStr"/>
      <c r="I32" s="6" t="inlineStr">
        <is>
          <t>Light emitting diode</t>
        </is>
      </c>
      <c r="J32" s="5" t="inlineStr"/>
    </row>
    <row r="33">
      <c r="A33" s="5" t="inlineStr">
        <is>
          <t>D9</t>
        </is>
      </c>
      <c r="B33" s="7" t="inlineStr">
        <is>
          <t>RED</t>
        </is>
      </c>
      <c r="C33" s="5" t="inlineStr">
        <is>
          <t>SMD</t>
        </is>
      </c>
      <c r="D33" s="8" t="inlineStr">
        <is>
          <t>Device:LED</t>
        </is>
      </c>
      <c r="E33" s="8" t="inlineStr">
        <is>
          <t>WL-TMRW_3MM:WL-TMRW_3MM</t>
        </is>
      </c>
      <c r="F33" s="20" t="inlineStr">
        <is>
          <t>BasisStation_Layout.kicad_sch</t>
        </is>
      </c>
      <c r="G33" s="7" t="inlineStr"/>
      <c r="H33" s="7" t="inlineStr"/>
      <c r="I33" s="6" t="inlineStr">
        <is>
          <t>Light emitting diode</t>
        </is>
      </c>
      <c r="J33" s="5" t="inlineStr"/>
    </row>
    <row r="34">
      <c r="A34" s="5" t="inlineStr">
        <is>
          <t>D10</t>
        </is>
      </c>
      <c r="B34" s="7" t="inlineStr">
        <is>
          <t>GREEN</t>
        </is>
      </c>
      <c r="C34" s="5" t="inlineStr">
        <is>
          <t>SMD</t>
        </is>
      </c>
      <c r="D34" s="8" t="inlineStr">
        <is>
          <t>Device:LED</t>
        </is>
      </c>
      <c r="E34" s="8" t="inlineStr">
        <is>
          <t>WL-TMRC_3MM:WL-TMRC_3MM</t>
        </is>
      </c>
      <c r="F34" s="20" t="inlineStr">
        <is>
          <t>BasisStation_Layout.kicad_sch</t>
        </is>
      </c>
      <c r="G34" s="7" t="inlineStr"/>
      <c r="H34" s="7" t="inlineStr"/>
      <c r="I34" s="6" t="inlineStr">
        <is>
          <t>Light emitting diode</t>
        </is>
      </c>
      <c r="J34" s="5" t="inlineStr"/>
    </row>
    <row r="35">
      <c r="A35" s="5" t="inlineStr">
        <is>
          <t>D11</t>
        </is>
      </c>
      <c r="B35" s="7" t="inlineStr">
        <is>
          <t>SS34</t>
        </is>
      </c>
      <c r="C35" s="5" t="inlineStr">
        <is>
          <t>SMD</t>
        </is>
      </c>
      <c r="D35" s="8" t="inlineStr">
        <is>
          <t>Diode:SS34</t>
        </is>
      </c>
      <c r="E35" s="8" t="inlineStr">
        <is>
          <t>Diode_SMD:D_SMA</t>
        </is>
      </c>
      <c r="F35" s="20" t="inlineStr">
        <is>
          <t>Stromversorgung.kicad_sch</t>
        </is>
      </c>
      <c r="G35" s="7" t="inlineStr"/>
      <c r="H35" s="7" t="inlineStr"/>
      <c r="I35" s="6" t="inlineStr">
        <is>
          <t>40V 3A Schottky Diode, SMA</t>
        </is>
      </c>
      <c r="J35" s="5" t="inlineStr"/>
    </row>
    <row r="36">
      <c r="A36" s="5" t="inlineStr">
        <is>
          <t>D12</t>
        </is>
      </c>
      <c r="B36" s="7" t="inlineStr">
        <is>
          <t>SMAJ5.0A</t>
        </is>
      </c>
      <c r="C36" s="5" t="inlineStr">
        <is>
          <t>SMD</t>
        </is>
      </c>
      <c r="D36" s="8" t="inlineStr">
        <is>
          <t>Diode:SMAJ5.0A</t>
        </is>
      </c>
      <c r="E36" s="8" t="inlineStr">
        <is>
          <t>Diode_SMD:D_SMA</t>
        </is>
      </c>
      <c r="F36" s="20" t="inlineStr">
        <is>
          <t>Stromversorgung.kicad_sch</t>
        </is>
      </c>
      <c r="G36" s="7" t="inlineStr"/>
      <c r="H36" s="7" t="inlineStr"/>
      <c r="I36" s="6" t="inlineStr">
        <is>
          <t>400W unidirectional Transient Voltage Suppressor, 5.0Vr, SMA(DO-214AC)</t>
        </is>
      </c>
      <c r="J36" s="5" t="inlineStr"/>
    </row>
    <row r="37">
      <c r="A37" s="5" t="inlineStr">
        <is>
          <t>F1</t>
        </is>
      </c>
      <c r="B37" s="7" t="inlineStr">
        <is>
          <t>Fuse</t>
        </is>
      </c>
      <c r="C37" s="5" t="inlineStr">
        <is>
          <t>SMD</t>
        </is>
      </c>
      <c r="D37" s="8" t="inlineStr">
        <is>
          <t>Device:Fuse</t>
        </is>
      </c>
      <c r="E37" s="8" t="inlineStr">
        <is>
          <t>Fuse:Fuse_1206_3216Metric</t>
        </is>
      </c>
      <c r="F37" s="20" t="inlineStr">
        <is>
          <t>Stromversorgung.kicad_sch</t>
        </is>
      </c>
      <c r="G37" s="7" t="inlineStr"/>
      <c r="H37" s="7" t="inlineStr"/>
      <c r="I37" s="6" t="inlineStr">
        <is>
          <t>Fuse</t>
        </is>
      </c>
      <c r="J37" s="5" t="inlineStr"/>
    </row>
    <row r="38">
      <c r="A38" s="5" t="inlineStr">
        <is>
          <t>FB1</t>
        </is>
      </c>
      <c r="B38" s="7" t="inlineStr">
        <is>
          <t>Ferrit 600R@100MHz</t>
        </is>
      </c>
      <c r="C38" s="5" t="inlineStr">
        <is>
          <t>SMD</t>
        </is>
      </c>
      <c r="D38" s="8" t="inlineStr">
        <is>
          <t>Device:R</t>
        </is>
      </c>
      <c r="E38" s="8" t="inlineStr">
        <is>
          <t>Inductor_SMD:L_0805_2012Metric</t>
        </is>
      </c>
      <c r="F38" s="20" t="inlineStr">
        <is>
          <t>ethernet.kicad_sch</t>
        </is>
      </c>
      <c r="G38" s="7" t="inlineStr"/>
      <c r="H38" s="7" t="inlineStr"/>
      <c r="I38" s="6" t="inlineStr">
        <is>
          <t>Resistor</t>
        </is>
      </c>
      <c r="J38" s="5" t="inlineStr"/>
    </row>
    <row r="39">
      <c r="A39" s="5" t="inlineStr">
        <is>
          <t>J1</t>
        </is>
      </c>
      <c r="B39" s="7" t="inlineStr">
        <is>
          <t>12401548E4-2A</t>
        </is>
      </c>
      <c r="C39" s="5" t="inlineStr">
        <is>
          <t>SMD</t>
        </is>
      </c>
      <c r="D39" s="8" t="inlineStr">
        <is>
          <t>Connector:USB_C_Receptacle_USB2.0_16P</t>
        </is>
      </c>
      <c r="E39" s="8" t="inlineStr">
        <is>
          <t>shbs_power:USB_C_Receptacle_Amphenol_12401548E4-2A</t>
        </is>
      </c>
      <c r="F39" s="20" t="inlineStr">
        <is>
          <t>BasisStation_Debugging.kicad_sch</t>
        </is>
      </c>
      <c r="G39" s="7" t="inlineStr">
        <is>
          <t>Amphenol</t>
        </is>
      </c>
      <c r="H39" s="7" t="inlineStr"/>
      <c r="I39" s="6" t="inlineStr">
        <is>
          <t>USB 2.0-only 16P Type-C Receptacle connector</t>
        </is>
      </c>
      <c r="J39" s="5" t="inlineStr"/>
    </row>
    <row r="40">
      <c r="A40" s="5" t="inlineStr">
        <is>
          <t>J6</t>
        </is>
      </c>
      <c r="B40" s="7" t="inlineStr">
        <is>
          <t>Conn_02x03_Odd_Even</t>
        </is>
      </c>
      <c r="C40" s="5" t="inlineStr">
        <is>
          <t>SMD</t>
        </is>
      </c>
      <c r="D40" s="8" t="inlineStr">
        <is>
          <t>Connector_Generic:Conn_02x03_Odd_Even</t>
        </is>
      </c>
      <c r="E40" s="8" t="inlineStr">
        <is>
          <t>wuerth_6120XX21621:61200621621</t>
        </is>
      </c>
      <c r="F40" s="20" t="inlineStr">
        <is>
          <t>BasisStation_Layout.kicad_sch</t>
        </is>
      </c>
      <c r="G40" s="7" t="inlineStr"/>
      <c r="H40" s="7" t="inlineStr"/>
      <c r="I40" s="6" t="inlineStr">
        <is>
          <t>Generic connector, double row, 02x03, odd/even pin numbering scheme (row 1 odd numbers, row 2 even numbers), script generated (kicad-library-utils/schlib/autogen/connector/)</t>
        </is>
      </c>
      <c r="J40" s="5" t="inlineStr"/>
    </row>
    <row r="41">
      <c r="A41" s="5" t="inlineStr">
        <is>
          <t>J_PWR1</t>
        </is>
      </c>
      <c r="B41" s="7" t="inlineStr">
        <is>
          <t>12401548E4-2A</t>
        </is>
      </c>
      <c r="C41" s="5" t="inlineStr">
        <is>
          <t>SMD</t>
        </is>
      </c>
      <c r="D41" s="8" t="inlineStr">
        <is>
          <t>shbs_power:USB_C_Receptacle_Power</t>
        </is>
      </c>
      <c r="E41" s="8" t="inlineStr">
        <is>
          <t>shbs_power:USB_C_Receptacle_Amphenol_12401548E4-2A</t>
        </is>
      </c>
      <c r="F41" s="20" t="inlineStr">
        <is>
          <t>Stromversorgung.kicad_sch</t>
        </is>
      </c>
      <c r="G41" s="7" t="inlineStr">
        <is>
          <t>Amphenol</t>
        </is>
      </c>
      <c r="H41" s="7" t="inlineStr"/>
      <c r="I41" s="6" t="inlineStr">
        <is>
          <t>USB 2.0 Type-C receptacle, power (VBUS/CC), hybrid SMT+TH</t>
        </is>
      </c>
      <c r="J41" s="5" t="inlineStr"/>
    </row>
    <row r="42">
      <c r="A42" s="5" t="inlineStr">
        <is>
          <t>L1</t>
        </is>
      </c>
      <c r="B42" s="7" t="inlineStr">
        <is>
          <t>10uH</t>
        </is>
      </c>
      <c r="C42" s="5" t="inlineStr">
        <is>
          <t>SMD</t>
        </is>
      </c>
      <c r="D42" s="8" t="inlineStr">
        <is>
          <t>Device:L</t>
        </is>
      </c>
      <c r="E42" s="8" t="inlineStr">
        <is>
          <t>Inductor_SMD:L_Bourns_SRN6045TA</t>
        </is>
      </c>
      <c r="F42" s="20" t="inlineStr">
        <is>
          <t>Stromversorgung.kicad_sch</t>
        </is>
      </c>
      <c r="G42" s="7" t="inlineStr"/>
      <c r="H42" s="7" t="inlineStr"/>
      <c r="I42" s="6" t="inlineStr">
        <is>
          <t>Inductor</t>
        </is>
      </c>
      <c r="J42" s="5" t="inlineStr"/>
    </row>
    <row r="43">
      <c r="A43" s="5" t="inlineStr">
        <is>
          <t>PS1</t>
        </is>
      </c>
      <c r="B43" s="7" t="inlineStr">
        <is>
          <t>MP2359DJ</t>
        </is>
      </c>
      <c r="C43" s="5" t="inlineStr">
        <is>
          <t>SMD</t>
        </is>
      </c>
      <c r="D43" s="8" t="inlineStr">
        <is>
          <t>shbs_power:MP2359DJ</t>
        </is>
      </c>
      <c r="E43" s="8" t="inlineStr">
        <is>
          <t>shbs_power:MP2359DJ</t>
        </is>
      </c>
      <c r="F43" s="20" t="inlineStr">
        <is>
          <t>Stromversorgung.kicad_sch</t>
        </is>
      </c>
      <c r="G43" s="7" t="inlineStr">
        <is>
          <t>Monolithic Power Systems</t>
        </is>
      </c>
      <c r="H43" s="7" t="inlineStr"/>
      <c r="I43" s="6" t="inlineStr">
        <is>
          <t>1.2A, 24V, 1.4MHz step-down converter, SOT23-6</t>
        </is>
      </c>
      <c r="J43" s="5" t="inlineStr"/>
    </row>
    <row r="44">
      <c r="A44" s="5" t="inlineStr">
        <is>
          <t>Q1</t>
        </is>
      </c>
      <c r="B44" s="7" t="inlineStr">
        <is>
          <t>BC337</t>
        </is>
      </c>
      <c r="C44" s="5" t="inlineStr">
        <is>
          <t>THT</t>
        </is>
      </c>
      <c r="D44" s="8" t="inlineStr">
        <is>
          <t>Transistor_BJT:BC337</t>
        </is>
      </c>
      <c r="E44" s="8" t="inlineStr">
        <is>
          <t>Package_TO_SOT_THT:TO-92_Inline</t>
        </is>
      </c>
      <c r="F44" s="20" t="inlineStr">
        <is>
          <t>BasisStation_Layout.kicad_sch</t>
        </is>
      </c>
      <c r="G44" s="7" t="inlineStr"/>
      <c r="H44" s="7" t="inlineStr"/>
      <c r="I44" s="6" t="inlineStr">
        <is>
          <t>0.8A Ic, 45V Vce, NPN Transistor, TO-92</t>
        </is>
      </c>
      <c r="J44" s="5" t="inlineStr"/>
    </row>
    <row r="45">
      <c r="A45" s="5" t="inlineStr">
        <is>
          <t>Q2</t>
        </is>
      </c>
      <c r="B45" s="7" t="inlineStr">
        <is>
          <t>BC337</t>
        </is>
      </c>
      <c r="C45" s="5" t="inlineStr">
        <is>
          <t>THT</t>
        </is>
      </c>
      <c r="D45" s="8" t="inlineStr">
        <is>
          <t>Transistor_BJT:BC337</t>
        </is>
      </c>
      <c r="E45" s="8" t="inlineStr">
        <is>
          <t>Package_TO_SOT_THT:TO-92_Inline</t>
        </is>
      </c>
      <c r="F45" s="20" t="inlineStr">
        <is>
          <t>BasisStation_Layout.kicad_sch</t>
        </is>
      </c>
      <c r="G45" s="7" t="inlineStr"/>
      <c r="H45" s="7" t="inlineStr"/>
      <c r="I45" s="6" t="inlineStr">
        <is>
          <t>0.8A Ic, 45V Vce, NPN Transistor, TO-92</t>
        </is>
      </c>
      <c r="J45" s="5" t="inlineStr"/>
    </row>
    <row r="46">
      <c r="A46" s="5" t="inlineStr">
        <is>
          <t>Q3</t>
        </is>
      </c>
      <c r="B46" s="7" t="inlineStr">
        <is>
          <t>BC337</t>
        </is>
      </c>
      <c r="C46" s="5" t="inlineStr">
        <is>
          <t>THT</t>
        </is>
      </c>
      <c r="D46" s="8" t="inlineStr">
        <is>
          <t>Transistor_BJT:BC337</t>
        </is>
      </c>
      <c r="E46" s="8" t="inlineStr">
        <is>
          <t>Package_TO_SOT_THT:TO-92_Inline</t>
        </is>
      </c>
      <c r="F46" s="20" t="inlineStr">
        <is>
          <t>BasisStation_Layout.kicad_sch</t>
        </is>
      </c>
      <c r="G46" s="7" t="inlineStr"/>
      <c r="H46" s="7" t="inlineStr"/>
      <c r="I46" s="6" t="inlineStr">
        <is>
          <t>0.8A Ic, 45V Vce, NPN Transistor, TO-92</t>
        </is>
      </c>
      <c r="J46" s="5" t="inlineStr"/>
    </row>
    <row r="47">
      <c r="A47" s="5" t="inlineStr">
        <is>
          <t>Q4</t>
        </is>
      </c>
      <c r="B47" s="7" t="inlineStr">
        <is>
          <t>BC337</t>
        </is>
      </c>
      <c r="C47" s="5" t="inlineStr">
        <is>
          <t>THT</t>
        </is>
      </c>
      <c r="D47" s="8" t="inlineStr">
        <is>
          <t>Transistor_BJT:BC337</t>
        </is>
      </c>
      <c r="E47" s="8" t="inlineStr">
        <is>
          <t>Package_TO_SOT_THT:TO-92_Inline</t>
        </is>
      </c>
      <c r="F47" s="20" t="inlineStr">
        <is>
          <t>BasisStation_Layout.kicad_sch</t>
        </is>
      </c>
      <c r="G47" s="7" t="inlineStr"/>
      <c r="H47" s="7" t="inlineStr"/>
      <c r="I47" s="6" t="inlineStr">
        <is>
          <t>0.8A Ic, 45V Vce, NPN Transistor, TO-92</t>
        </is>
      </c>
      <c r="J47" s="5" t="inlineStr"/>
    </row>
    <row r="48">
      <c r="A48" s="5" t="inlineStr">
        <is>
          <t>R9</t>
        </is>
      </c>
      <c r="B48" s="7" t="inlineStr">
        <is>
          <t>10k</t>
        </is>
      </c>
      <c r="C48" s="5" t="inlineStr">
        <is>
          <t>THT</t>
        </is>
      </c>
      <c r="D48" s="8" t="inlineStr">
        <is>
          <t>Device:R</t>
        </is>
      </c>
      <c r="E48" s="8" t="inlineStr">
        <is>
          <t>Resistor_THT:R_Axial_DIN0207_L6.3mm_D2.5mm_P10.16mm_Horizontal</t>
        </is>
      </c>
      <c r="F48" s="20" t="inlineStr">
        <is>
          <t>BasisStation_Layout.kicad_sch</t>
        </is>
      </c>
      <c r="G48" s="7" t="inlineStr"/>
      <c r="H48" s="7" t="inlineStr"/>
      <c r="I48" s="6" t="inlineStr">
        <is>
          <t>Resistor</t>
        </is>
      </c>
      <c r="J48" s="5" t="inlineStr"/>
    </row>
    <row r="49">
      <c r="A49" s="5" t="inlineStr">
        <is>
          <t>R13</t>
        </is>
      </c>
      <c r="B49" s="7" t="inlineStr">
        <is>
          <t>220</t>
        </is>
      </c>
      <c r="C49" s="5" t="inlineStr">
        <is>
          <t>THT</t>
        </is>
      </c>
      <c r="D49" s="8" t="inlineStr">
        <is>
          <t>Device:R</t>
        </is>
      </c>
      <c r="E49" s="8" t="inlineStr">
        <is>
          <t>Resistor_THT:R_Axial_DIN0617_L17.0mm_D6.0mm_P20.32mm_Horizontal</t>
        </is>
      </c>
      <c r="F49" s="20" t="inlineStr">
        <is>
          <t>BasisStation_Layout.kicad_sch</t>
        </is>
      </c>
      <c r="G49" s="7" t="inlineStr"/>
      <c r="H49" s="7" t="inlineStr"/>
      <c r="I49" s="6" t="inlineStr">
        <is>
          <t>Resistor</t>
        </is>
      </c>
      <c r="J49" s="5" t="inlineStr"/>
    </row>
    <row r="50">
      <c r="A50" s="5" t="inlineStr">
        <is>
          <t>R14</t>
        </is>
      </c>
      <c r="B50" s="7" t="inlineStr">
        <is>
          <t>220</t>
        </is>
      </c>
      <c r="C50" s="5" t="inlineStr">
        <is>
          <t>THT</t>
        </is>
      </c>
      <c r="D50" s="8" t="inlineStr">
        <is>
          <t>Device:R</t>
        </is>
      </c>
      <c r="E50" s="8" t="inlineStr">
        <is>
          <t>Resistor_THT:R_Axial_DIN0617_L17.0mm_D6.0mm_P20.32mm_Horizontal</t>
        </is>
      </c>
      <c r="F50" s="20" t="inlineStr">
        <is>
          <t>BasisStation_Layout.kicad_sch</t>
        </is>
      </c>
      <c r="G50" s="7" t="inlineStr"/>
      <c r="H50" s="7" t="inlineStr"/>
      <c r="I50" s="6" t="inlineStr">
        <is>
          <t>Resistor</t>
        </is>
      </c>
      <c r="J50" s="5" t="inlineStr"/>
    </row>
    <row r="51">
      <c r="A51" s="5" t="inlineStr">
        <is>
          <t>R15</t>
        </is>
      </c>
      <c r="B51" s="7" t="inlineStr">
        <is>
          <t>220</t>
        </is>
      </c>
      <c r="C51" s="5" t="inlineStr">
        <is>
          <t>THT</t>
        </is>
      </c>
      <c r="D51" s="8" t="inlineStr">
        <is>
          <t>Device:R</t>
        </is>
      </c>
      <c r="E51" s="8" t="inlineStr">
        <is>
          <t>Resistor_THT:R_Axial_DIN0617_L17.0mm_D6.0mm_P20.32mm_Horizontal</t>
        </is>
      </c>
      <c r="F51" s="20" t="inlineStr">
        <is>
          <t>BasisStation_Layout.kicad_sch</t>
        </is>
      </c>
      <c r="G51" s="7" t="inlineStr"/>
      <c r="H51" s="7" t="inlineStr"/>
      <c r="I51" s="6" t="inlineStr">
        <is>
          <t>Resistor</t>
        </is>
      </c>
      <c r="J51" s="5" t="inlineStr"/>
    </row>
    <row r="52">
      <c r="A52" s="5" t="inlineStr">
        <is>
          <t>R16</t>
        </is>
      </c>
      <c r="B52" s="7" t="inlineStr">
        <is>
          <t>220</t>
        </is>
      </c>
      <c r="C52" s="5" t="inlineStr">
        <is>
          <t>THT</t>
        </is>
      </c>
      <c r="D52" s="8" t="inlineStr">
        <is>
          <t>Device:R</t>
        </is>
      </c>
      <c r="E52" s="8" t="inlineStr">
        <is>
          <t>Resistor_THT:R_Axial_DIN0617_L17.0mm_D6.0mm_P20.32mm_Horizontal</t>
        </is>
      </c>
      <c r="F52" s="20" t="inlineStr">
        <is>
          <t>BasisStation_Layout.kicad_sch</t>
        </is>
      </c>
      <c r="G52" s="7" t="inlineStr"/>
      <c r="H52" s="7" t="inlineStr"/>
      <c r="I52" s="6" t="inlineStr">
        <is>
          <t>Resistor</t>
        </is>
      </c>
      <c r="J52" s="5" t="inlineStr"/>
    </row>
    <row r="53">
      <c r="A53" s="5" t="inlineStr">
        <is>
          <t>R17</t>
        </is>
      </c>
      <c r="B53" s="7" t="inlineStr">
        <is>
          <t>49,9 kΩ</t>
        </is>
      </c>
      <c r="C53" s="5" t="inlineStr">
        <is>
          <t>SMD</t>
        </is>
      </c>
      <c r="D53" s="8" t="inlineStr">
        <is>
          <t>Device:R</t>
        </is>
      </c>
      <c r="E53" s="8" t="inlineStr">
        <is>
          <t>Resistor_SMD:R_0805_2012Metric</t>
        </is>
      </c>
      <c r="F53" s="20" t="inlineStr">
        <is>
          <t>Stromversorgung.kicad_sch</t>
        </is>
      </c>
      <c r="G53" s="7" t="inlineStr"/>
      <c r="H53" s="7" t="inlineStr"/>
      <c r="I53" s="6" t="inlineStr">
        <is>
          <t>Resistor</t>
        </is>
      </c>
      <c r="J53" s="5" t="inlineStr"/>
    </row>
    <row r="54">
      <c r="A54" s="5" t="inlineStr">
        <is>
          <t>R18</t>
        </is>
      </c>
      <c r="B54" s="7" t="inlineStr">
        <is>
          <t>16,2 kΩ</t>
        </is>
      </c>
      <c r="C54" s="5" t="inlineStr">
        <is>
          <t>SMD</t>
        </is>
      </c>
      <c r="D54" s="8" t="inlineStr">
        <is>
          <t>Device:R</t>
        </is>
      </c>
      <c r="E54" s="8" t="inlineStr">
        <is>
          <t>Resistor_SMD:R_0805_2012Metric</t>
        </is>
      </c>
      <c r="F54" s="20" t="inlineStr">
        <is>
          <t>Stromversorgung.kicad_sch</t>
        </is>
      </c>
      <c r="G54" s="7" t="inlineStr"/>
      <c r="H54" s="7" t="inlineStr"/>
      <c r="I54" s="6" t="inlineStr">
        <is>
          <t>Resistor</t>
        </is>
      </c>
      <c r="J54" s="5" t="inlineStr"/>
    </row>
    <row r="55">
      <c r="A55" s="5" t="inlineStr">
        <is>
          <t>R19</t>
        </is>
      </c>
      <c r="B55" s="7" t="inlineStr">
        <is>
          <t>5,1 kΩ</t>
        </is>
      </c>
      <c r="C55" s="5" t="inlineStr">
        <is>
          <t>SMD</t>
        </is>
      </c>
      <c r="D55" s="8" t="inlineStr">
        <is>
          <t>Device:R</t>
        </is>
      </c>
      <c r="E55" s="8" t="inlineStr">
        <is>
          <t>Resistor_SMD:R_0805_2012Metric</t>
        </is>
      </c>
      <c r="F55" s="20" t="inlineStr">
        <is>
          <t>Stromversorgung.kicad_sch</t>
        </is>
      </c>
      <c r="G55" s="7" t="inlineStr"/>
      <c r="H55" s="7" t="inlineStr"/>
      <c r="I55" s="6" t="inlineStr">
        <is>
          <t>Resistor</t>
        </is>
      </c>
      <c r="J55" s="5" t="inlineStr"/>
    </row>
    <row r="56">
      <c r="A56" s="5" t="inlineStr">
        <is>
          <t>R20</t>
        </is>
      </c>
      <c r="B56" s="7" t="inlineStr">
        <is>
          <t>5,1 kΩ</t>
        </is>
      </c>
      <c r="C56" s="5" t="inlineStr">
        <is>
          <t>SMD</t>
        </is>
      </c>
      <c r="D56" s="8" t="inlineStr">
        <is>
          <t>Device:R</t>
        </is>
      </c>
      <c r="E56" s="8" t="inlineStr">
        <is>
          <t>Resistor_SMD:R_0805_2012Metric</t>
        </is>
      </c>
      <c r="F56" s="20" t="inlineStr">
        <is>
          <t>Stromversorgung.kicad_sch</t>
        </is>
      </c>
      <c r="G56" s="7" t="inlineStr"/>
      <c r="H56" s="7" t="inlineStr"/>
      <c r="I56" s="6" t="inlineStr">
        <is>
          <t>Resistor</t>
        </is>
      </c>
      <c r="J56" s="5" t="inlineStr"/>
    </row>
    <row r="57">
      <c r="A57" s="5" t="inlineStr">
        <is>
          <t>R21</t>
        </is>
      </c>
      <c r="B57" s="7" t="inlineStr">
        <is>
          <t>5,1 kΩ</t>
        </is>
      </c>
      <c r="C57" s="5" t="inlineStr">
        <is>
          <t>SMD</t>
        </is>
      </c>
      <c r="D57" s="8" t="inlineStr">
        <is>
          <t>Device:R</t>
        </is>
      </c>
      <c r="E57" s="8" t="inlineStr">
        <is>
          <t>Resistor_SMD:R_0805_2012Metric</t>
        </is>
      </c>
      <c r="F57" s="20" t="inlineStr">
        <is>
          <t>BasisStation_Debugging.kicad_sch</t>
        </is>
      </c>
      <c r="G57" s="7" t="inlineStr"/>
      <c r="H57" s="7" t="inlineStr"/>
      <c r="I57" s="6" t="inlineStr">
        <is>
          <t>Resistor</t>
        </is>
      </c>
      <c r="J57" s="5" t="inlineStr"/>
    </row>
    <row r="58">
      <c r="A58" s="5" t="inlineStr">
        <is>
          <t>R22</t>
        </is>
      </c>
      <c r="B58" s="7" t="inlineStr">
        <is>
          <t>5,1 kΩ</t>
        </is>
      </c>
      <c r="C58" s="5" t="inlineStr">
        <is>
          <t>SMD</t>
        </is>
      </c>
      <c r="D58" s="8" t="inlineStr">
        <is>
          <t>Device:R</t>
        </is>
      </c>
      <c r="E58" s="8" t="inlineStr">
        <is>
          <t>Resistor_SMD:R_0805_2012Metric</t>
        </is>
      </c>
      <c r="F58" s="20" t="inlineStr">
        <is>
          <t>BasisStation_Debugging.kicad_sch</t>
        </is>
      </c>
      <c r="G58" s="7" t="inlineStr"/>
      <c r="H58" s="7" t="inlineStr"/>
      <c r="I58" s="6" t="inlineStr">
        <is>
          <t>Resistor</t>
        </is>
      </c>
      <c r="J58" s="5" t="inlineStr"/>
    </row>
    <row r="59">
      <c r="A59" s="5" t="inlineStr">
        <is>
          <t>R23</t>
        </is>
      </c>
      <c r="B59" s="7" t="inlineStr">
        <is>
          <t>4,7k</t>
        </is>
      </c>
      <c r="C59" s="5" t="inlineStr">
        <is>
          <t>THT</t>
        </is>
      </c>
      <c r="D59" s="8" t="inlineStr">
        <is>
          <t>Device:R</t>
        </is>
      </c>
      <c r="E59" s="8" t="inlineStr">
        <is>
          <t>Resistor_THT:R_Axial_DIN0617_L17.0mm_D6.0mm_P20.32mm_Horizontal</t>
        </is>
      </c>
      <c r="F59" s="20" t="inlineStr">
        <is>
          <t>BasisStation_Layout.kicad_sch</t>
        </is>
      </c>
      <c r="G59" s="7" t="inlineStr"/>
      <c r="H59" s="7" t="inlineStr"/>
      <c r="I59" s="6" t="inlineStr">
        <is>
          <t>Resistor</t>
        </is>
      </c>
      <c r="J59" s="5" t="inlineStr"/>
    </row>
    <row r="60">
      <c r="A60" s="5" t="inlineStr">
        <is>
          <t>R24</t>
        </is>
      </c>
      <c r="B60" s="7" t="inlineStr">
        <is>
          <t>4,7k</t>
        </is>
      </c>
      <c r="C60" s="5" t="inlineStr">
        <is>
          <t>THT</t>
        </is>
      </c>
      <c r="D60" s="8" t="inlineStr">
        <is>
          <t>Device:R</t>
        </is>
      </c>
      <c r="E60" s="8" t="inlineStr">
        <is>
          <t>Resistor_THT:R_Axial_DIN0617_L17.0mm_D6.0mm_P20.32mm_Horizontal</t>
        </is>
      </c>
      <c r="F60" s="20" t="inlineStr">
        <is>
          <t>BasisStation_Layout.kicad_sch</t>
        </is>
      </c>
      <c r="G60" s="7" t="inlineStr"/>
      <c r="H60" s="7" t="inlineStr"/>
      <c r="I60" s="6" t="inlineStr">
        <is>
          <t>Resistor</t>
        </is>
      </c>
      <c r="J60" s="5" t="inlineStr"/>
    </row>
    <row r="61">
      <c r="A61" s="5" t="inlineStr">
        <is>
          <t>R25</t>
        </is>
      </c>
      <c r="B61" s="7" t="inlineStr">
        <is>
          <t>4,7k</t>
        </is>
      </c>
      <c r="C61" s="5" t="inlineStr">
        <is>
          <t>THT</t>
        </is>
      </c>
      <c r="D61" s="8" t="inlineStr">
        <is>
          <t>Device:R</t>
        </is>
      </c>
      <c r="E61" s="8" t="inlineStr">
        <is>
          <t>Resistor_THT:R_Axial_DIN0617_L17.0mm_D6.0mm_P20.32mm_Horizontal</t>
        </is>
      </c>
      <c r="F61" s="20" t="inlineStr">
        <is>
          <t>BasisStation_Layout.kicad_sch</t>
        </is>
      </c>
      <c r="G61" s="7" t="inlineStr"/>
      <c r="H61" s="7" t="inlineStr"/>
      <c r="I61" s="6" t="inlineStr">
        <is>
          <t>Resistor</t>
        </is>
      </c>
      <c r="J61" s="5" t="inlineStr"/>
    </row>
    <row r="62">
      <c r="A62" s="5" t="inlineStr">
        <is>
          <t>R26</t>
        </is>
      </c>
      <c r="B62" s="7" t="inlineStr">
        <is>
          <t>4,7k</t>
        </is>
      </c>
      <c r="C62" s="5" t="inlineStr">
        <is>
          <t>THT</t>
        </is>
      </c>
      <c r="D62" s="8" t="inlineStr">
        <is>
          <t>Device:R</t>
        </is>
      </c>
      <c r="E62" s="8" t="inlineStr">
        <is>
          <t>Resistor_THT:R_Axial_DIN0617_L17.0mm_D6.0mm_P20.32mm_Horizontal</t>
        </is>
      </c>
      <c r="F62" s="20" t="inlineStr">
        <is>
          <t>BasisStation_Layout.kicad_sch</t>
        </is>
      </c>
      <c r="G62" s="7" t="inlineStr"/>
      <c r="H62" s="7" t="inlineStr"/>
      <c r="I62" s="6" t="inlineStr">
        <is>
          <t>Resistor</t>
        </is>
      </c>
      <c r="J62" s="5" t="inlineStr"/>
    </row>
    <row r="63">
      <c r="A63" s="5" t="inlineStr">
        <is>
          <t>R27</t>
        </is>
      </c>
      <c r="B63" s="7" t="inlineStr">
        <is>
          <t>12,4kΩ, 1%</t>
        </is>
      </c>
      <c r="C63" s="5" t="inlineStr">
        <is>
          <t>SMD</t>
        </is>
      </c>
      <c r="D63" s="8" t="inlineStr">
        <is>
          <t>Device:R</t>
        </is>
      </c>
      <c r="E63" s="8" t="inlineStr">
        <is>
          <t>Resistor_SMD:R_0805_2012Metric</t>
        </is>
      </c>
      <c r="F63" s="20" t="inlineStr">
        <is>
          <t>ethernet.kicad_sch</t>
        </is>
      </c>
      <c r="G63" s="7" t="inlineStr"/>
      <c r="H63" s="7" t="inlineStr"/>
      <c r="I63" s="6" t="inlineStr">
        <is>
          <t>Resistor</t>
        </is>
      </c>
      <c r="J63" s="5" t="inlineStr"/>
    </row>
    <row r="64">
      <c r="A64" s="5" t="inlineStr">
        <is>
          <t>R28</t>
        </is>
      </c>
      <c r="B64" s="7" t="inlineStr">
        <is>
          <t>10kΩ</t>
        </is>
      </c>
      <c r="C64" s="5" t="inlineStr">
        <is>
          <t>SMD</t>
        </is>
      </c>
      <c r="D64" s="8" t="inlineStr">
        <is>
          <t>Device:R</t>
        </is>
      </c>
      <c r="E64" s="8" t="inlineStr">
        <is>
          <t>Resistor_SMD:R_0805_2012Metric</t>
        </is>
      </c>
      <c r="F64" s="20" t="inlineStr">
        <is>
          <t>ethernet.kicad_sch</t>
        </is>
      </c>
      <c r="G64" s="7" t="inlineStr"/>
      <c r="H64" s="7" t="inlineStr"/>
      <c r="I64" s="6" t="inlineStr">
        <is>
          <t>Resistor</t>
        </is>
      </c>
      <c r="J64" s="5" t="inlineStr"/>
    </row>
    <row r="65">
      <c r="A65" s="5" t="inlineStr">
        <is>
          <t>R29</t>
        </is>
      </c>
      <c r="B65" s="7" t="inlineStr">
        <is>
          <t>10kΩ</t>
        </is>
      </c>
      <c r="C65" s="5" t="inlineStr">
        <is>
          <t>SMD</t>
        </is>
      </c>
      <c r="D65" s="8" t="inlineStr">
        <is>
          <t>Device:R</t>
        </is>
      </c>
      <c r="E65" s="8" t="inlineStr">
        <is>
          <t>Resistor_SMD:R_0805_2012Metric</t>
        </is>
      </c>
      <c r="F65" s="20" t="inlineStr">
        <is>
          <t>ethernet.kicad_sch</t>
        </is>
      </c>
      <c r="G65" s="7" t="inlineStr"/>
      <c r="H65" s="7" t="inlineStr"/>
      <c r="I65" s="6" t="inlineStr">
        <is>
          <t>Resistor</t>
        </is>
      </c>
      <c r="J65" s="5" t="inlineStr"/>
    </row>
    <row r="66">
      <c r="A66" s="5" t="inlineStr">
        <is>
          <t>R30</t>
        </is>
      </c>
      <c r="B66" s="7" t="inlineStr">
        <is>
          <t>10kΩ</t>
        </is>
      </c>
      <c r="C66" s="5" t="inlineStr">
        <is>
          <t>SMD</t>
        </is>
      </c>
      <c r="D66" s="8" t="inlineStr">
        <is>
          <t>Device:R</t>
        </is>
      </c>
      <c r="E66" s="8" t="inlineStr">
        <is>
          <t>Resistor_SMD:R_0805_2012Metric</t>
        </is>
      </c>
      <c r="F66" s="20" t="inlineStr">
        <is>
          <t>ethernet.kicad_sch</t>
        </is>
      </c>
      <c r="G66" s="7" t="inlineStr"/>
      <c r="H66" s="7" t="inlineStr"/>
      <c r="I66" s="6" t="inlineStr">
        <is>
          <t>Resistor</t>
        </is>
      </c>
      <c r="J66" s="5" t="inlineStr"/>
    </row>
    <row r="67">
      <c r="A67" s="5" t="inlineStr">
        <is>
          <t>R31</t>
        </is>
      </c>
      <c r="B67" s="7" t="inlineStr">
        <is>
          <t>10kΩ</t>
        </is>
      </c>
      <c r="C67" s="5" t="inlineStr">
        <is>
          <t>SMD</t>
        </is>
      </c>
      <c r="D67" s="8" t="inlineStr">
        <is>
          <t>Device:R</t>
        </is>
      </c>
      <c r="E67" s="8" t="inlineStr">
        <is>
          <t>Resistor_SMD:R_0805_2012Metric</t>
        </is>
      </c>
      <c r="F67" s="20" t="inlineStr">
        <is>
          <t>ethernet.kicad_sch</t>
        </is>
      </c>
      <c r="G67" s="7" t="inlineStr"/>
      <c r="H67" s="7" t="inlineStr"/>
      <c r="I67" s="6" t="inlineStr">
        <is>
          <t>Resistor</t>
        </is>
      </c>
      <c r="J67" s="5" t="inlineStr"/>
    </row>
    <row r="68">
      <c r="A68" s="5" t="inlineStr">
        <is>
          <t>R32</t>
        </is>
      </c>
      <c r="B68" s="7" t="inlineStr">
        <is>
          <t>10kΩ</t>
        </is>
      </c>
      <c r="C68" s="5" t="inlineStr">
        <is>
          <t>SMD</t>
        </is>
      </c>
      <c r="D68" s="8" t="inlineStr">
        <is>
          <t>Device:R</t>
        </is>
      </c>
      <c r="E68" s="8" t="inlineStr">
        <is>
          <t>Resistor_SMD:R_0805_2012Metric</t>
        </is>
      </c>
      <c r="F68" s="20" t="inlineStr">
        <is>
          <t>ethernet.kicad_sch</t>
        </is>
      </c>
      <c r="G68" s="7" t="inlineStr"/>
      <c r="H68" s="7" t="inlineStr"/>
      <c r="I68" s="6" t="inlineStr">
        <is>
          <t>Resistor</t>
        </is>
      </c>
      <c r="J68" s="5" t="inlineStr"/>
    </row>
    <row r="69">
      <c r="A69" s="5" t="inlineStr">
        <is>
          <t>R33</t>
        </is>
      </c>
      <c r="B69" s="7" t="inlineStr">
        <is>
          <t>220Ω</t>
        </is>
      </c>
      <c r="C69" s="5" t="inlineStr">
        <is>
          <t>SMD</t>
        </is>
      </c>
      <c r="D69" s="8" t="inlineStr">
        <is>
          <t>Device:R</t>
        </is>
      </c>
      <c r="E69" s="8" t="inlineStr">
        <is>
          <t>Resistor_SMD:R_0805_2012Metric</t>
        </is>
      </c>
      <c r="F69" s="20" t="inlineStr">
        <is>
          <t>ethernet.kicad_sch</t>
        </is>
      </c>
      <c r="G69" s="7" t="inlineStr"/>
      <c r="H69" s="7" t="inlineStr"/>
      <c r="I69" s="6" t="inlineStr">
        <is>
          <t>Resistor</t>
        </is>
      </c>
      <c r="J69" s="5" t="inlineStr"/>
    </row>
    <row r="70">
      <c r="A70" s="5" t="inlineStr">
        <is>
          <t>R34</t>
        </is>
      </c>
      <c r="B70" s="7" t="inlineStr">
        <is>
          <t>220Ω</t>
        </is>
      </c>
      <c r="C70" s="5" t="inlineStr">
        <is>
          <t>SMD</t>
        </is>
      </c>
      <c r="D70" s="8" t="inlineStr">
        <is>
          <t>Device:R</t>
        </is>
      </c>
      <c r="E70" s="8" t="inlineStr">
        <is>
          <t>Resistor_SMD:R_0805_2012Metric</t>
        </is>
      </c>
      <c r="F70" s="20" t="inlineStr">
        <is>
          <t>ethernet.kicad_sch</t>
        </is>
      </c>
      <c r="G70" s="7" t="inlineStr"/>
      <c r="H70" s="7" t="inlineStr"/>
      <c r="I70" s="6" t="inlineStr">
        <is>
          <t>Resistor</t>
        </is>
      </c>
      <c r="J70" s="5" t="inlineStr"/>
    </row>
    <row r="71">
      <c r="A71" s="5" t="inlineStr">
        <is>
          <t>R35</t>
        </is>
      </c>
      <c r="B71" s="7" t="inlineStr">
        <is>
          <t>0Ω</t>
        </is>
      </c>
      <c r="C71" s="5" t="inlineStr">
        <is>
          <t>SMD</t>
        </is>
      </c>
      <c r="D71" s="8" t="inlineStr">
        <is>
          <t>Device:R</t>
        </is>
      </c>
      <c r="E71" s="8" t="inlineStr">
        <is>
          <t>Resistor_SMD:R_0805_2012Metric</t>
        </is>
      </c>
      <c r="F71" s="20" t="inlineStr">
        <is>
          <t>ethernet.kicad_sch</t>
        </is>
      </c>
      <c r="G71" s="7" t="inlineStr"/>
      <c r="H71" s="7" t="inlineStr"/>
      <c r="I71" s="6" t="inlineStr">
        <is>
          <t>Resistor</t>
        </is>
      </c>
      <c r="J71" s="5" t="inlineStr">
        <is>
          <t>DNP</t>
        </is>
      </c>
    </row>
    <row r="72">
      <c r="A72" s="5" t="inlineStr">
        <is>
          <t>R36</t>
        </is>
      </c>
      <c r="B72" s="7" t="inlineStr">
        <is>
          <t>49,9Ω 1%</t>
        </is>
      </c>
      <c r="C72" s="5" t="inlineStr">
        <is>
          <t>SMD</t>
        </is>
      </c>
      <c r="D72" s="8" t="inlineStr">
        <is>
          <t>Device:R</t>
        </is>
      </c>
      <c r="E72" s="8" t="inlineStr">
        <is>
          <t>Resistor_SMD:R_0805_2012Metric</t>
        </is>
      </c>
      <c r="F72" s="20" t="inlineStr">
        <is>
          <t>ethernet.kicad_sch</t>
        </is>
      </c>
      <c r="G72" s="7" t="inlineStr"/>
      <c r="H72" s="7" t="inlineStr"/>
      <c r="I72" s="6" t="inlineStr">
        <is>
          <t>Resistor</t>
        </is>
      </c>
      <c r="J72" s="5" t="inlineStr"/>
    </row>
    <row r="73">
      <c r="A73" s="5" t="inlineStr">
        <is>
          <t>R37</t>
        </is>
      </c>
      <c r="B73" s="7" t="inlineStr">
        <is>
          <t>49,9Ω 1%</t>
        </is>
      </c>
      <c r="C73" s="5" t="inlineStr">
        <is>
          <t>SMD</t>
        </is>
      </c>
      <c r="D73" s="8" t="inlineStr">
        <is>
          <t>Device:R</t>
        </is>
      </c>
      <c r="E73" s="8" t="inlineStr">
        <is>
          <t>Resistor_SMD:R_0805_2012Metric</t>
        </is>
      </c>
      <c r="F73" s="20" t="inlineStr">
        <is>
          <t>ethernet.kicad_sch</t>
        </is>
      </c>
      <c r="G73" s="7" t="inlineStr"/>
      <c r="H73" s="7" t="inlineStr"/>
      <c r="I73" s="6" t="inlineStr">
        <is>
          <t>Resistor</t>
        </is>
      </c>
      <c r="J73" s="5" t="inlineStr"/>
    </row>
    <row r="74">
      <c r="A74" s="5" t="inlineStr">
        <is>
          <t>R38</t>
        </is>
      </c>
      <c r="B74" s="7" t="inlineStr">
        <is>
          <t>10Ω 1%</t>
        </is>
      </c>
      <c r="C74" s="5" t="inlineStr">
        <is>
          <t>SMD</t>
        </is>
      </c>
      <c r="D74" s="8" t="inlineStr">
        <is>
          <t>Device:R</t>
        </is>
      </c>
      <c r="E74" s="8" t="inlineStr">
        <is>
          <t>Resistor_SMD:R_0805_2012Metric</t>
        </is>
      </c>
      <c r="F74" s="20" t="inlineStr">
        <is>
          <t>ethernet.kicad_sch</t>
        </is>
      </c>
      <c r="G74" s="7" t="inlineStr"/>
      <c r="H74" s="7" t="inlineStr"/>
      <c r="I74" s="6" t="inlineStr">
        <is>
          <t>Resistor</t>
        </is>
      </c>
      <c r="J74" s="5" t="inlineStr"/>
    </row>
    <row r="75">
      <c r="A75" s="5" t="inlineStr">
        <is>
          <t>R39</t>
        </is>
      </c>
      <c r="B75" s="7" t="inlineStr">
        <is>
          <t>49,9Ω 1%</t>
        </is>
      </c>
      <c r="C75" s="5" t="inlineStr">
        <is>
          <t>SMD</t>
        </is>
      </c>
      <c r="D75" s="8" t="inlineStr">
        <is>
          <t>Device:R</t>
        </is>
      </c>
      <c r="E75" s="8" t="inlineStr">
        <is>
          <t>Resistor_SMD:R_0805_2012Metric</t>
        </is>
      </c>
      <c r="F75" s="20" t="inlineStr">
        <is>
          <t>ethernet.kicad_sch</t>
        </is>
      </c>
      <c r="G75" s="7" t="inlineStr"/>
      <c r="H75" s="7" t="inlineStr"/>
      <c r="I75" s="6" t="inlineStr">
        <is>
          <t>Resistor</t>
        </is>
      </c>
      <c r="J75" s="5" t="inlineStr"/>
    </row>
    <row r="76">
      <c r="A76" s="5" t="inlineStr">
        <is>
          <t>R40</t>
        </is>
      </c>
      <c r="B76" s="7" t="inlineStr">
        <is>
          <t>49,9Ω 1%</t>
        </is>
      </c>
      <c r="C76" s="5" t="inlineStr">
        <is>
          <t>SMD</t>
        </is>
      </c>
      <c r="D76" s="8" t="inlineStr">
        <is>
          <t>Device:R</t>
        </is>
      </c>
      <c r="E76" s="8" t="inlineStr">
        <is>
          <t>Resistor_SMD:R_0805_2012Metric</t>
        </is>
      </c>
      <c r="F76" s="20" t="inlineStr">
        <is>
          <t>ethernet.kicad_sch</t>
        </is>
      </c>
      <c r="G76" s="7" t="inlineStr"/>
      <c r="H76" s="7" t="inlineStr"/>
      <c r="I76" s="6" t="inlineStr">
        <is>
          <t>Resistor</t>
        </is>
      </c>
      <c r="J76" s="5" t="inlineStr"/>
    </row>
    <row r="77">
      <c r="A77" s="5" t="inlineStr">
        <is>
          <t>S2</t>
        </is>
      </c>
      <c r="B77" s="7" t="inlineStr">
        <is>
          <t>1543-650-149</t>
        </is>
      </c>
      <c r="C77" s="5" t="inlineStr">
        <is>
          <t>SMD</t>
        </is>
      </c>
      <c r="D77" s="8" t="inlineStr">
        <is>
          <t>1543-650-149:1543-650-149</t>
        </is>
      </c>
      <c r="E77" s="8" t="inlineStr">
        <is>
          <t>1543-650-149:1543650149</t>
        </is>
      </c>
      <c r="F77" s="20" t="inlineStr">
        <is>
          <t>BasisStation_Layout.kicad_sch</t>
        </is>
      </c>
      <c r="G77" s="7" t="inlineStr">
        <is>
          <t>Bourns</t>
        </is>
      </c>
      <c r="H77" s="7" t="inlineStr">
        <is>
          <t>1543-650-149</t>
        </is>
      </c>
      <c r="I77" s="6" t="inlineStr">
        <is>
          <t>Pushbutton Switches Push Switch</t>
        </is>
      </c>
      <c r="J77" s="5" t="inlineStr"/>
    </row>
    <row r="78">
      <c r="A78" s="5" t="inlineStr">
        <is>
          <t>T1</t>
        </is>
      </c>
      <c r="B78" s="7" t="inlineStr">
        <is>
          <t>7499011121A</t>
        </is>
      </c>
      <c r="C78" s="5" t="inlineStr">
        <is>
          <t>SMD</t>
        </is>
      </c>
      <c r="D78" s="8" t="inlineStr">
        <is>
          <t>wuerth_rj45:7499011121A</t>
        </is>
      </c>
      <c r="E78" s="8" t="inlineStr">
        <is>
          <t>wuerth_rj45:T_Wurth_WE-RJ45LAN_7499011121A</t>
        </is>
      </c>
      <c r="F78" s="20" t="inlineStr">
        <is>
          <t>ethernet.kicad_sch</t>
        </is>
      </c>
      <c r="G78" s="7" t="inlineStr">
        <is>
          <t>Wurth Elektronik</t>
        </is>
      </c>
      <c r="H78" s="7" t="inlineStr"/>
      <c r="I78" s="6" t="inlineStr">
        <is>
          <t>WE-RJ45 LAN Transformer</t>
        </is>
      </c>
      <c r="J78" s="5" t="inlineStr"/>
    </row>
    <row r="79">
      <c r="A79" s="5" t="inlineStr">
        <is>
          <t>U1</t>
        </is>
      </c>
      <c r="B79" s="7" t="inlineStr">
        <is>
          <t>D3V3XA4B10LP</t>
        </is>
      </c>
      <c r="C79" s="5" t="inlineStr">
        <is>
          <t>SMD</t>
        </is>
      </c>
      <c r="D79" s="8" t="inlineStr">
        <is>
          <t>Power_Protection:D3V3XA4B10LP</t>
        </is>
      </c>
      <c r="E79" s="8" t="inlineStr">
        <is>
          <t>Package_DFN_QFN:Diodes_UDFN-10_1x2.5mm_P0.5mm</t>
        </is>
      </c>
      <c r="F79" s="20" t="inlineStr">
        <is>
          <t>BasisStation_Debugging.kicad_sch</t>
        </is>
      </c>
      <c r="G79" s="7" t="inlineStr"/>
      <c r="H79" s="7" t="inlineStr"/>
      <c r="I79" s="6" t="inlineStr">
        <is>
          <t>4-Channel Low Capacitance TVS Diode Array, DFN-10 / USON-10</t>
        </is>
      </c>
      <c r="J79" s="5" t="inlineStr"/>
    </row>
    <row r="80">
      <c r="A80" s="5" t="inlineStr">
        <is>
          <t>U6</t>
        </is>
      </c>
      <c r="B80" s="7" t="inlineStr">
        <is>
          <t>ESP32-S3-WROOM-1U-N16R8</t>
        </is>
      </c>
      <c r="C80" s="5" t="inlineStr">
        <is>
          <t>SMD</t>
        </is>
      </c>
      <c r="D80" s="8" t="inlineStr">
        <is>
          <t>ESP32-S3-WROOM-1U-N16R8:ESP32-S3-WROOM-1U-N16R8</t>
        </is>
      </c>
      <c r="E80" s="8" t="inlineStr">
        <is>
          <t>ESP32-S3-WROOM-1U-N16R8:ESP32-S3-WROOM-1U</t>
        </is>
      </c>
      <c r="F80" s="20" t="inlineStr">
        <is>
          <t>BasisStation_Layout.kicad_sch</t>
        </is>
      </c>
      <c r="G80" s="7" t="inlineStr"/>
      <c r="H80" s="7" t="inlineStr"/>
      <c r="I80" s="6" t="inlineStr">
        <is>
          <t>ESP32-S3-WROOM-1U-N16R8: 16 MB flash, 8 MB octal PSRAM, IPEX antenna connector. Pin 41 is the exposed thermal pad, tied to GND.</t>
        </is>
      </c>
      <c r="J80" s="5" t="inlineStr"/>
    </row>
    <row r="81">
      <c r="A81" s="5" t="inlineStr">
        <is>
          <t>U7</t>
        </is>
      </c>
      <c r="B81" s="7" t="inlineStr">
        <is>
          <t>W5500</t>
        </is>
      </c>
      <c r="C81" s="5" t="inlineStr">
        <is>
          <t>SMD</t>
        </is>
      </c>
      <c r="D81" s="8" t="inlineStr">
        <is>
          <t>W5500:W5500</t>
        </is>
      </c>
      <c r="E81" s="8" t="inlineStr">
        <is>
          <t>W5500:48LQFP_W5500_WIZ</t>
        </is>
      </c>
      <c r="F81" s="20" t="inlineStr">
        <is>
          <t>ethernet.kicad_sch</t>
        </is>
      </c>
      <c r="G81" s="7" t="inlineStr">
        <is>
          <t>WIZnet</t>
        </is>
      </c>
      <c r="H81" s="7" t="inlineStr"/>
      <c r="I81" s="6" t="inlineStr">
        <is>
          <t>Ethernet controller, integrated MAC and PHY, 10/100BASE-TX, SPI slave, LQFP-48</t>
        </is>
      </c>
      <c r="J81" s="5" t="inlineStr"/>
    </row>
    <row r="82">
      <c r="A82" s="5" t="inlineStr">
        <is>
          <t>Y1</t>
        </is>
      </c>
      <c r="B82" s="7" t="inlineStr">
        <is>
          <t>25 MHz</t>
        </is>
      </c>
      <c r="C82" s="5" t="inlineStr">
        <is>
          <t>SMD</t>
        </is>
      </c>
      <c r="D82" s="8" t="inlineStr">
        <is>
          <t>wuerth_xtal:CFPX-104_830059532</t>
        </is>
      </c>
      <c r="E82" s="8" t="inlineStr">
        <is>
          <t>wuerth_830059532:Y_Wurth_WE-XTAL_Quartz-CFPX-104</t>
        </is>
      </c>
      <c r="F82" s="20" t="inlineStr">
        <is>
          <t>ethernet.kicad_sch</t>
        </is>
      </c>
      <c r="G82" s="7" t="inlineStr">
        <is>
          <t>Wurth Elektronik</t>
        </is>
      </c>
      <c r="H82" s="7" t="inlineStr"/>
      <c r="I82" s="6" t="inlineStr">
        <is>
          <t>Quartz Crystal ED</t>
        </is>
      </c>
      <c r="J82" s="5" t="inlineStr"/>
    </row>
  </sheetData>
  <autoFilter ref="A4:J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2" customWidth="1" min="3" max="3"/>
    <col width="66" customWidth="1" min="4" max="4"/>
    <col width="18" customWidth="1" min="5" max="5"/>
  </cols>
  <sheetData>
    <row r="1">
      <c r="A1" s="1" t="inlineStr">
        <is>
          <t>Offene Punkte vor der Bestellung</t>
        </is>
      </c>
    </row>
    <row r="2">
      <c r="A2" s="2" t="inlineStr">
        <is>
          <t>Der Schaltplan ist elektrisch fertig. Diese Punkte betreffen ausschliesslich die Beschaffung.</t>
        </is>
      </c>
    </row>
    <row r="4" ht="30" customHeight="1">
      <c r="A4" s="4" t="inlineStr">
        <is>
          <t>Nr</t>
        </is>
      </c>
      <c r="B4" s="4" t="inlineStr">
        <is>
          <t>Betrifft</t>
        </is>
      </c>
      <c r="C4" s="4" t="inlineStr">
        <is>
          <t>Punkt</t>
        </is>
      </c>
      <c r="D4" s="4" t="inlineStr">
        <is>
          <t>Warum es zaehlt</t>
        </is>
      </c>
      <c r="E4" s="4" t="inlineStr">
        <is>
          <t>Wer entscheidet</t>
        </is>
      </c>
    </row>
    <row r="5" ht="58" customHeight="1">
      <c r="A5" s="21" t="n">
        <v>1</v>
      </c>
      <c r="B5" s="6" t="inlineStr">
        <is>
          <t>Preise und Mouser-Teilenummern</t>
        </is>
      </c>
      <c r="C5" s="6" t="inlineStr">
        <is>
          <t>Spalten J und K der Stueckliste sind leer.</t>
        </is>
      </c>
      <c r="D5" s="6" t="inlineStr">
        <is>
          <t>mouser.de ist aus dem Dev-Container nicht erreichbar - Produktseiten und Suche laufen in den Timeout (Bot-Schutz). Preise wurden bewusst NICHT geschaetzt oder erfunden. Zum automatischen Fuellen braucht es einen Mouser-API-Schluessel; sonst von Hand.</t>
        </is>
      </c>
      <c r="E5" s="21" t="inlineStr">
        <is>
          <t>Bediener</t>
        </is>
      </c>
    </row>
    <row r="6" ht="58" customHeight="1">
      <c r="A6" s="21" t="n">
        <v>2</v>
      </c>
      <c r="B6" s="6" t="inlineStr">
        <is>
          <t>25 Positionen: generische Passivteile</t>
        </is>
      </c>
      <c r="C6" s="6" t="inlineStr">
        <is>
          <t>Widerstaende, Kondensatoren und FB1 tragen nur einen Wert, keine Herstellerteilenummer.</t>
        </is>
      </c>
      <c r="D6" s="6" t="inlineStr">
        <is>
          <t>Fuer eine Bestellung fehlen Toleranz, Spannungsfestigkeit, Dielektrikum (X7R/C0G) und Belastbarkeit. Bei C25/C26 am 25-MHz-Quarz und bei den 1%-Widerstaenden der Ethernet-Terminierung ist das nicht beliebig.</t>
        </is>
      </c>
      <c r="E6" s="21" t="inlineStr">
        <is>
          <t>Bediener / Agent</t>
        </is>
      </c>
    </row>
    <row r="7" ht="58" customHeight="1">
      <c r="A7" s="21" t="n">
        <v>3</v>
      </c>
      <c r="B7" s="6" t="inlineStr">
        <is>
          <t>5 Positionen: abgeleitete Teilenummern</t>
        </is>
      </c>
      <c r="C7" s="6" t="inlineStr">
        <is>
          <t>Teilenummer stammt aus dem Bibliotheks- oder Footprint-Namen, nicht aus einem Feld.</t>
        </is>
      </c>
      <c r="D7" s="6" t="inlineStr">
        <is>
          <t>Steht in Spalte I und ist in Spalte O als "abgeleitet" markiert. Vor der Bestellung am Datenblatt bestaetigen - Serienbezeichnungen wie "SRN6045TA" brauchen noch den Wert-Suffix.</t>
        </is>
      </c>
      <c r="E7" s="21" t="inlineStr">
        <is>
          <t>Bediener</t>
        </is>
      </c>
    </row>
    <row r="8" ht="58" customHeight="1">
      <c r="A8" s="21" t="n">
        <v>4</v>
      </c>
      <c r="B8" s="6" t="inlineStr">
        <is>
          <t>F1 (Sicherung)</t>
        </is>
      </c>
      <c r="C8" s="6" t="inlineStr">
        <is>
          <t>Der Wert lautet schlicht "Fuse" - kein Strom- oder Ausloesewert.</t>
        </is>
      </c>
      <c r="D8" s="6" t="inlineStr">
        <is>
          <t>Ohne Nennstrom ist die Sicherung nicht bestellbar und die Schutzfunktion nicht definiert. Haengt an der Stromaufnahme der Baugruppe (SHBS-4).</t>
        </is>
      </c>
      <c r="E8" s="21" t="inlineStr">
        <is>
          <t>Bediener</t>
        </is>
      </c>
    </row>
    <row r="9" ht="58" customHeight="1">
      <c r="A9" s="21" t="n">
        <v>5</v>
      </c>
      <c r="B9" s="6" t="inlineStr">
        <is>
          <t>FB1 (Ferritperle)</t>
        </is>
      </c>
      <c r="C9" s="6" t="inlineStr">
        <is>
          <t>Nutzt das Symbol Device:R - also einen Widerstand.</t>
        </is>
      </c>
      <c r="D9" s="6" t="inlineStr">
        <is>
          <t>Elektrisch folgenlos (zweipoliges Passivteil), aber Symbol und Bauteil widersprechen sich. Wer den Schaltplan liest, sieht einen Widerstand, wo eine Ferritperle sitzt.</t>
        </is>
      </c>
      <c r="E9" s="21" t="inlineStr">
        <is>
          <t>Agent</t>
        </is>
      </c>
    </row>
    <row r="10" ht="58" customHeight="1">
      <c r="A10" s="21" t="n">
        <v>6</v>
      </c>
      <c r="B10" s="6" t="inlineStr">
        <is>
          <t>J6 (Stiftleiste)</t>
        </is>
      </c>
      <c r="C10" s="6" t="inlineStr">
        <is>
          <t>Wert ist der generische KiCad-Symbolname "Conn_02x03_Odd_Even".</t>
        </is>
      </c>
      <c r="D10" s="6" t="inlineStr">
        <is>
          <t>Der Footprint verweist auf Wuerth 61200621621. Der Wert sollte die Bestellbezeichnung tragen, sonst ist die Stueckliste ohne Blick in den Footprint nicht lesbar.</t>
        </is>
      </c>
      <c r="E10" s="21" t="inlineStr">
        <is>
          <t>Agent</t>
        </is>
      </c>
    </row>
    <row r="11" ht="58" customHeight="1">
      <c r="A11" s="21" t="n">
        <v>7</v>
      </c>
      <c r="B11" s="6" t="inlineStr">
        <is>
          <t>D8, D9, D10 (LEDs)</t>
        </is>
      </c>
      <c r="C11" s="6" t="inlineStr">
        <is>
          <t>Nutzen das generische Symbol Device:LED, waehrend D7 das spezifische WL-TMRC_3MM-Symbol nutzt.</t>
        </is>
      </c>
      <c r="D11" s="6" t="inlineStr">
        <is>
          <t>Uneinheitlich. Zudem liegen D8/D9 auf der Serie WL-TMRW, D10 auf WL-TMRC - zwei verschiedene Wuerth-Serien in derselben Funktionsgruppe.</t>
        </is>
      </c>
      <c r="E11" s="21" t="inlineStr">
        <is>
          <t>Bediener</t>
        </is>
      </c>
    </row>
    <row r="12" ht="58" customHeight="1">
      <c r="A12" s="21" t="n">
        <v>8</v>
      </c>
      <c r="B12" s="6" t="inlineStr">
        <is>
          <t>Mischbestueckung THT / SMD</t>
        </is>
      </c>
      <c r="C12" s="6" t="inlineStr">
        <is>
          <t>Q1-Q4 (BC337, TO-92) sowie R9, R13-R16, R23-R26 sind bedrahtet, der Rest ist SMD.</t>
        </is>
      </c>
      <c r="D12" s="6" t="inlineStr">
        <is>
          <t>Bedrahtete Teile erzwingen einen zweiten Bestueckungsdurchlauf und verteuern die Fertigung spuerbar. R13-R16 und R23-R26 sitzen ausserdem im Footprint DIN0617 (17 mm, 2-W-Klasse) - fuer LED-Vorwiderstaende und Basiswiderstaende reichlich gross.</t>
        </is>
      </c>
      <c r="E12" s="21" t="inlineStr">
        <is>
          <t>Bediener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2026-09-22T09:44:18Z</dcterms:created>
  <dcterms:modified xsi:type="dcterms:W3CDTF">2026-09-22T09:44:18Z</dcterms:modified>
</cp:coreProperties>
</file>